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ver (Original Data)" sheetId="1" r:id="rId4"/>
    <sheet state="visible" name="River (Adjusted)" sheetId="2" r:id="rId5"/>
    <sheet state="visible" name="River (Expected Prices)" sheetId="3" r:id="rId6"/>
    <sheet state="visible" name="Cliff Top (Original Data)" sheetId="4" r:id="rId7"/>
    <sheet state="visible" name="Cliff Top (Adjusted)" sheetId="5" r:id="rId8"/>
    <sheet state="visible" name="Cliff Top (Expected Prices)" sheetId="6" r:id="rId9"/>
    <sheet state="visible" name="Mouth of River (Original Data)" sheetId="7" r:id="rId10"/>
    <sheet state="visible" name="Mouth of River (Adjusted)" sheetId="8" r:id="rId11"/>
    <sheet state="visible" name="Mouth of River (Expected Prices" sheetId="9" r:id="rId12"/>
    <sheet state="visible" name="Pond (Original Data)" sheetId="10" r:id="rId13"/>
    <sheet state="visible" name="Pond (Adjusted)" sheetId="11" r:id="rId14"/>
    <sheet state="visible" name="Pond (Expected Prices)" sheetId="12" r:id="rId15"/>
    <sheet state="visible" name="Sea (Original Data)" sheetId="13" r:id="rId16"/>
    <sheet state="visible" name="Sea (Adjusted)" sheetId="14" r:id="rId17"/>
    <sheet state="visible" name="Sea (Expected Prices)" sheetId="15" r:id="rId18"/>
    <sheet state="visible" name="Pier (Original Data)" sheetId="16" r:id="rId19"/>
    <sheet state="visible" name="Pier (Adjusted)" sheetId="17" r:id="rId20"/>
    <sheet state="visible" name="Pier (Expected Prices)" sheetId="18" r:id="rId21"/>
  </sheets>
  <definedNames/>
  <calcPr/>
</workbook>
</file>

<file path=xl/sharedStrings.xml><?xml version="1.0" encoding="utf-8"?>
<sst xmlns="http://schemas.openxmlformats.org/spreadsheetml/2006/main" count="4316" uniqueCount="154">
  <si>
    <t>Jan  9a-4p</t>
  </si>
  <si>
    <t>Jan 4a-9a 4p-9p</t>
  </si>
  <si>
    <t>Jan  9p-4a</t>
  </si>
  <si>
    <t>Feb 9a-4p</t>
  </si>
  <si>
    <t>Feb 4a-9a 4p-9p</t>
  </si>
  <si>
    <t>Feb  9p-4a</t>
  </si>
  <si>
    <t>Mar 9a-4p</t>
  </si>
  <si>
    <t>Mar 4a-9a 4p-9p</t>
  </si>
  <si>
    <t>Mar  9p-4a</t>
  </si>
  <si>
    <t>Apr 9a-4p</t>
  </si>
  <si>
    <t>Apr 4a-9a 4p-9p</t>
  </si>
  <si>
    <t>Apr 9p-4a</t>
  </si>
  <si>
    <t>May 9a-4p</t>
  </si>
  <si>
    <t>May 4a-9a 4p-9p</t>
  </si>
  <si>
    <t>May  9p-4a</t>
  </si>
  <si>
    <t>Jun 9a-4p</t>
  </si>
  <si>
    <t>Jun 4a-9a 4p-9p</t>
  </si>
  <si>
    <t>Jun  9p-4a</t>
  </si>
  <si>
    <t>Jul 9a-4p</t>
  </si>
  <si>
    <t>Jul 4a-9a 4p-9p</t>
  </si>
  <si>
    <t>Jul  9p-4a</t>
  </si>
  <si>
    <t>Aug 9a-4p</t>
  </si>
  <si>
    <t>Aug 4a-9a 4p-9p</t>
  </si>
  <si>
    <t>Aug  9p-4a</t>
  </si>
  <si>
    <t>Sep 9a-4p</t>
  </si>
  <si>
    <t>Sep 4a-9a 4p-9p</t>
  </si>
  <si>
    <t>Sep 9p-4a</t>
  </si>
  <si>
    <t>Oct 9a-4p</t>
  </si>
  <si>
    <t>Oct 4a-9a 4p-9p</t>
  </si>
  <si>
    <t>Oct 9p-4a</t>
  </si>
  <si>
    <t>Nov 9a-4p</t>
  </si>
  <si>
    <t>Nov 4a-9a 4p-9p</t>
  </si>
  <si>
    <t>Nov 9p-4a</t>
  </si>
  <si>
    <t>Dec 9a-4p</t>
  </si>
  <si>
    <t>Dec 4a-9a 4p-9p</t>
  </si>
  <si>
    <t>Dec  9p-4a</t>
  </si>
  <si>
    <t>Angelfish</t>
  </si>
  <si>
    <t>Arapaima</t>
  </si>
  <si>
    <t>Arowana </t>
  </si>
  <si>
    <t>Betta</t>
  </si>
  <si>
    <t>Bitterling </t>
  </si>
  <si>
    <t>Black Bass</t>
  </si>
  <si>
    <t>Blueguill</t>
  </si>
  <si>
    <t>Crucian Carp</t>
  </si>
  <si>
    <t>Dace </t>
  </si>
  <si>
    <t>Dorado </t>
  </si>
  <si>
    <t>Freshwater Goby</t>
  </si>
  <si>
    <t>Guppy</t>
  </si>
  <si>
    <t>Loach</t>
  </si>
  <si>
    <t>Mitten Crab</t>
  </si>
  <si>
    <t>Neon Tetra</t>
  </si>
  <si>
    <t>Nibble Fish</t>
  </si>
  <si>
    <t>Pale Chub</t>
  </si>
  <si>
    <t>Pike</t>
  </si>
  <si>
    <t>Piranha </t>
  </si>
  <si>
    <t>Pond Smelt</t>
  </si>
  <si>
    <t>Rainbowfish</t>
  </si>
  <si>
    <t>Saddled Bichir</t>
  </si>
  <si>
    <t>Snapping Turtle </t>
  </si>
  <si>
    <t>Soft-Shell Turtle</t>
  </si>
  <si>
    <t>Sweetfish</t>
  </si>
  <si>
    <t>Tilapia</t>
  </si>
  <si>
    <t>Yellow Perch</t>
  </si>
  <si>
    <t>Can</t>
  </si>
  <si>
    <t>Boot</t>
  </si>
  <si>
    <t>Tire</t>
  </si>
  <si>
    <t>Stone</t>
  </si>
  <si>
    <t>Price</t>
  </si>
  <si>
    <t>Arowana</t>
  </si>
  <si>
    <t>Bitterling</t>
  </si>
  <si>
    <t>Bluegill</t>
  </si>
  <si>
    <t>Dace</t>
  </si>
  <si>
    <t>Dorado</t>
  </si>
  <si>
    <t>Piranha</t>
  </si>
  <si>
    <t>Snapping Turtle</t>
  </si>
  <si>
    <t>Soft-Shelled Turtle</t>
  </si>
  <si>
    <t>Expected Profit Per Catch</t>
  </si>
  <si>
    <t>Char</t>
  </si>
  <si>
    <t>Cherry Salmon</t>
  </si>
  <si>
    <t>Golden Trout</t>
  </si>
  <si>
    <t>Stringfish </t>
  </si>
  <si>
    <t>Prices</t>
  </si>
  <si>
    <t>Stringfish</t>
  </si>
  <si>
    <t/>
  </si>
  <si>
    <t>Kingsalmon</t>
  </si>
  <si>
    <t>Salmon</t>
  </si>
  <si>
    <t>Sturgeon</t>
  </si>
  <si>
    <t>Sales Price</t>
  </si>
  <si>
    <t>King Salmon</t>
  </si>
  <si>
    <t>Carp</t>
  </si>
  <si>
    <t>Catfish</t>
  </si>
  <si>
    <t>Crawfish </t>
  </si>
  <si>
    <t>Frog </t>
  </si>
  <si>
    <t>Gar</t>
  </si>
  <si>
    <t>Giant Snakehead</t>
  </si>
  <si>
    <t>Goldfish </t>
  </si>
  <si>
    <t>Killifish </t>
  </si>
  <si>
    <t>Koi</t>
  </si>
  <si>
    <t>Pop-Eyed Goldfish</t>
  </si>
  <si>
    <t>Ranchu Goldfish</t>
  </si>
  <si>
    <t>Tadpole</t>
  </si>
  <si>
    <t>Crawfish</t>
  </si>
  <si>
    <t>Frog</t>
  </si>
  <si>
    <t>Goldfish</t>
  </si>
  <si>
    <t>Killifish</t>
  </si>
  <si>
    <t>Anchovy</t>
  </si>
  <si>
    <t>Barred Knifejaw</t>
  </si>
  <si>
    <t>Barreleye </t>
  </si>
  <si>
    <t>Blowfish</t>
  </si>
  <si>
    <t>Butterfly Fish</t>
  </si>
  <si>
    <t>Clownfish </t>
  </si>
  <si>
    <t>Coelacanth</t>
  </si>
  <si>
    <t>Dab</t>
  </si>
  <si>
    <t>Football Fish</t>
  </si>
  <si>
    <t>Great White Shark</t>
  </si>
  <si>
    <t>Hammerhead Shark</t>
  </si>
  <si>
    <t>Horse Mackerel</t>
  </si>
  <si>
    <t>Moray Eel</t>
  </si>
  <si>
    <t>Napoleon Fish</t>
  </si>
  <si>
    <t>Oarfish </t>
  </si>
  <si>
    <t>Ocean Sunfish </t>
  </si>
  <si>
    <t>Olive Flounder</t>
  </si>
  <si>
    <t>Puffer Fish </t>
  </si>
  <si>
    <t>Ray </t>
  </si>
  <si>
    <t>Red Snapper</t>
  </si>
  <si>
    <t>Ribbon Eel</t>
  </si>
  <si>
    <t>Saw Shark </t>
  </si>
  <si>
    <t>Sea Bass </t>
  </si>
  <si>
    <t>Sea Butterfly</t>
  </si>
  <si>
    <t>Seahorse </t>
  </si>
  <si>
    <t>Squid </t>
  </si>
  <si>
    <t>Suckerfish</t>
  </si>
  <si>
    <t>Surgeonfish </t>
  </si>
  <si>
    <t>Whale Shark</t>
  </si>
  <si>
    <t>Zebra Turkeyfish</t>
  </si>
  <si>
    <t>Barreleye</t>
  </si>
  <si>
    <t>Butterfly Fish</t>
  </si>
  <si>
    <t>Clownfish</t>
  </si>
  <si>
    <t>Napoleonfish</t>
  </si>
  <si>
    <t>Oarfish</t>
  </si>
  <si>
    <t>Ocean Sunfish</t>
  </si>
  <si>
    <t>Puffer Fish</t>
  </si>
  <si>
    <t>Ray</t>
  </si>
  <si>
    <t>Saw Shark</t>
  </si>
  <si>
    <t>Sea Bass</t>
  </si>
  <si>
    <t>Sea Horse</t>
  </si>
  <si>
    <t>Squid</t>
  </si>
  <si>
    <t>Surgeonfish</t>
  </si>
  <si>
    <t>Blue Marlin</t>
  </si>
  <si>
    <t>Giant Trevally </t>
  </si>
  <si>
    <t>Mahi-Mahi</t>
  </si>
  <si>
    <t>Tuna </t>
  </si>
  <si>
    <t>Giant Trevally</t>
  </si>
  <si>
    <t>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</si>
</sst>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8EAADB"/>
        <bgColor rgb="FF8EAADB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3" fontId="3" numFmtId="0" xfId="0" applyAlignment="1" applyFill="1" applyFont="1">
      <alignment readingOrder="0"/>
    </xf>
    <xf borderId="0" fillId="3" fontId="4" numFmtId="0" xfId="0" applyFont="1"/>
    <xf borderId="0" fillId="4" fontId="1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5" fontId="1" numFmtId="0" xfId="0" applyAlignment="1" applyFill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36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3.0</v>
      </c>
      <c r="P2" s="2">
        <v>3.0</v>
      </c>
      <c r="Q2" s="2">
        <v>0.0</v>
      </c>
      <c r="R2" s="2">
        <v>3.0</v>
      </c>
      <c r="S2" s="2">
        <v>3.0</v>
      </c>
      <c r="T2" s="2">
        <v>0.0</v>
      </c>
      <c r="U2" s="2">
        <v>2.0</v>
      </c>
      <c r="V2" s="2">
        <v>2.0</v>
      </c>
      <c r="W2" s="2">
        <v>0.0</v>
      </c>
      <c r="X2" s="2">
        <v>2.0</v>
      </c>
      <c r="Y2" s="2">
        <v>2.0</v>
      </c>
      <c r="Z2" s="2">
        <v>0.0</v>
      </c>
      <c r="AA2" s="2">
        <v>2.0</v>
      </c>
      <c r="AB2" s="2">
        <v>2.0</v>
      </c>
      <c r="AC2" s="2">
        <v>0.0</v>
      </c>
      <c r="AD2" s="3">
        <v>5.0</v>
      </c>
      <c r="AE2" s="3">
        <v>5.0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</row>
    <row r="3">
      <c r="A3" s="1" t="s">
        <v>37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3">
        <v>1.0</v>
      </c>
      <c r="S3" s="3">
        <v>1.0</v>
      </c>
      <c r="T3" s="2">
        <v>0.0</v>
      </c>
      <c r="U3" s="3">
        <v>1.0</v>
      </c>
      <c r="V3" s="3">
        <v>1.0</v>
      </c>
      <c r="W3" s="2">
        <v>0.0</v>
      </c>
      <c r="X3" s="3">
        <v>1.0</v>
      </c>
      <c r="Y3" s="3">
        <v>1.0</v>
      </c>
      <c r="Z3" s="2">
        <v>0.0</v>
      </c>
      <c r="AA3" s="3">
        <v>1.0</v>
      </c>
      <c r="AB3" s="3">
        <v>1.0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</row>
    <row r="4">
      <c r="A4" s="1" t="s">
        <v>38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1.0</v>
      </c>
      <c r="S4" s="3">
        <v>2.0</v>
      </c>
      <c r="T4" s="2">
        <v>0.0</v>
      </c>
      <c r="U4" s="2">
        <v>1.0</v>
      </c>
      <c r="V4" s="3">
        <v>2.0</v>
      </c>
      <c r="W4" s="2">
        <v>0.0</v>
      </c>
      <c r="X4" s="2">
        <v>1.0</v>
      </c>
      <c r="Y4" s="3">
        <v>2.0</v>
      </c>
      <c r="Z4" s="2">
        <v>0.0</v>
      </c>
      <c r="AA4" s="2">
        <v>1.0</v>
      </c>
      <c r="AB4" s="3">
        <v>2.0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</row>
    <row r="5">
      <c r="A5" s="1" t="s">
        <v>39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0.0</v>
      </c>
      <c r="P5" s="2">
        <v>0.0</v>
      </c>
      <c r="Q5" s="2">
        <v>1.0</v>
      </c>
      <c r="R5" s="2">
        <v>0.0</v>
      </c>
      <c r="S5" s="2">
        <v>0.0</v>
      </c>
      <c r="T5" s="2">
        <v>1.0</v>
      </c>
      <c r="U5" s="2">
        <v>0.0</v>
      </c>
      <c r="V5" s="2">
        <v>0.0</v>
      </c>
      <c r="W5" s="2">
        <v>1.0</v>
      </c>
      <c r="X5" s="2">
        <v>0.0</v>
      </c>
      <c r="Y5" s="2">
        <v>0.0</v>
      </c>
      <c r="Z5" s="2">
        <v>2.0</v>
      </c>
      <c r="AA5" s="2">
        <v>0.0</v>
      </c>
      <c r="AB5" s="2">
        <v>0.0</v>
      </c>
      <c r="AC5" s="3">
        <v>4.0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</row>
    <row r="6">
      <c r="A6" s="1" t="s">
        <v>40</v>
      </c>
      <c r="B6" s="2">
        <v>15.0</v>
      </c>
      <c r="C6" s="2">
        <v>15.0</v>
      </c>
      <c r="D6" s="2">
        <v>15.0</v>
      </c>
      <c r="E6" s="2">
        <v>15.0</v>
      </c>
      <c r="F6" s="2">
        <v>15.0</v>
      </c>
      <c r="G6" s="2">
        <v>15.0</v>
      </c>
      <c r="H6" s="2">
        <v>14.0</v>
      </c>
      <c r="I6" s="2">
        <v>12.0</v>
      </c>
      <c r="J6" s="2">
        <v>12.0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3">
        <v>17.0</v>
      </c>
      <c r="AG6" s="2">
        <v>16.0</v>
      </c>
      <c r="AH6" s="2">
        <v>16.0</v>
      </c>
      <c r="AI6" s="2">
        <v>13.0</v>
      </c>
      <c r="AJ6" s="2">
        <v>13.0</v>
      </c>
      <c r="AK6" s="2">
        <v>13.0</v>
      </c>
    </row>
    <row r="7">
      <c r="A7" s="1" t="s">
        <v>41</v>
      </c>
      <c r="B7" s="2">
        <v>11.0</v>
      </c>
      <c r="C7" s="2">
        <v>11.0</v>
      </c>
      <c r="D7" s="2">
        <v>11.0</v>
      </c>
      <c r="E7" s="2">
        <v>11.0</v>
      </c>
      <c r="F7" s="2">
        <v>11.0</v>
      </c>
      <c r="G7" s="2">
        <v>11.0</v>
      </c>
      <c r="H7" s="2">
        <v>11.0</v>
      </c>
      <c r="I7" s="2">
        <v>10.0</v>
      </c>
      <c r="J7" s="2">
        <v>10.0</v>
      </c>
      <c r="K7" s="2">
        <v>9.0</v>
      </c>
      <c r="L7" s="2">
        <v>9.0</v>
      </c>
      <c r="M7" s="2">
        <v>9.0</v>
      </c>
      <c r="N7" s="2">
        <v>10.0</v>
      </c>
      <c r="O7" s="2">
        <v>9.0</v>
      </c>
      <c r="P7" s="2">
        <v>8.0</v>
      </c>
      <c r="Q7" s="2">
        <v>10.0</v>
      </c>
      <c r="R7" s="2">
        <v>10.0</v>
      </c>
      <c r="S7" s="2">
        <v>9.0</v>
      </c>
      <c r="T7" s="2">
        <v>8.0</v>
      </c>
      <c r="U7" s="2">
        <v>8.0</v>
      </c>
      <c r="V7" s="2">
        <v>7.0</v>
      </c>
      <c r="W7" s="2">
        <v>9.0</v>
      </c>
      <c r="X7" s="2">
        <v>8.0</v>
      </c>
      <c r="Y7" s="2">
        <v>8.0</v>
      </c>
      <c r="Z7" s="2">
        <v>5.0</v>
      </c>
      <c r="AA7" s="2">
        <v>4.0</v>
      </c>
      <c r="AB7" s="2">
        <v>4.0</v>
      </c>
      <c r="AC7" s="2">
        <v>9.0</v>
      </c>
      <c r="AD7" s="2">
        <v>11.0</v>
      </c>
      <c r="AE7" s="2">
        <v>10.0</v>
      </c>
      <c r="AF7" s="2">
        <v>9.0</v>
      </c>
      <c r="AG7" s="2">
        <v>10.0</v>
      </c>
      <c r="AH7" s="2">
        <v>11.0</v>
      </c>
      <c r="AI7" s="3">
        <v>12.0</v>
      </c>
      <c r="AJ7" s="3">
        <v>12.0</v>
      </c>
      <c r="AK7" s="3">
        <v>12.0</v>
      </c>
    </row>
    <row r="8">
      <c r="A8" s="1" t="s">
        <v>42</v>
      </c>
      <c r="B8" s="2">
        <v>8.0</v>
      </c>
      <c r="C8" s="2">
        <v>0.0</v>
      </c>
      <c r="D8" s="2">
        <v>0.0</v>
      </c>
      <c r="E8" s="2">
        <v>8.0</v>
      </c>
      <c r="F8" s="2">
        <v>0.0</v>
      </c>
      <c r="G8" s="2">
        <v>0.0</v>
      </c>
      <c r="H8" s="2">
        <v>9.0</v>
      </c>
      <c r="I8" s="2">
        <v>0.0</v>
      </c>
      <c r="J8" s="2">
        <v>0.0</v>
      </c>
      <c r="K8" s="2">
        <v>9.0</v>
      </c>
      <c r="L8" s="2">
        <v>0.0</v>
      </c>
      <c r="M8" s="2">
        <v>0.0</v>
      </c>
      <c r="N8" s="2">
        <v>8.0</v>
      </c>
      <c r="O8" s="2">
        <v>0.0</v>
      </c>
      <c r="P8" s="2">
        <v>0.0</v>
      </c>
      <c r="Q8" s="2">
        <v>8.0</v>
      </c>
      <c r="R8" s="2">
        <v>0.0</v>
      </c>
      <c r="S8" s="2">
        <v>0.0</v>
      </c>
      <c r="T8" s="2">
        <v>7.0</v>
      </c>
      <c r="U8" s="2">
        <v>0.0</v>
      </c>
      <c r="V8" s="2">
        <v>0.0</v>
      </c>
      <c r="W8" s="2">
        <v>7.0</v>
      </c>
      <c r="X8" s="2">
        <v>0.0</v>
      </c>
      <c r="Y8" s="2">
        <v>0.0</v>
      </c>
      <c r="Z8" s="2">
        <v>6.0</v>
      </c>
      <c r="AA8" s="2">
        <v>0.0</v>
      </c>
      <c r="AB8" s="2">
        <v>0.0</v>
      </c>
      <c r="AC8" s="2">
        <v>8.0</v>
      </c>
      <c r="AD8" s="2">
        <v>0.0</v>
      </c>
      <c r="AE8" s="2">
        <v>0.0</v>
      </c>
      <c r="AF8" s="3">
        <v>10.0</v>
      </c>
      <c r="AG8" s="2">
        <v>0.0</v>
      </c>
      <c r="AH8" s="2">
        <v>0.0</v>
      </c>
      <c r="AI8" s="2">
        <v>7.0</v>
      </c>
      <c r="AJ8" s="2">
        <v>0.0</v>
      </c>
      <c r="AK8" s="2">
        <v>0.0</v>
      </c>
    </row>
    <row r="9">
      <c r="A9" s="1" t="s">
        <v>43</v>
      </c>
      <c r="B9" s="3">
        <v>12.0</v>
      </c>
      <c r="C9" s="3">
        <v>12.0</v>
      </c>
      <c r="D9" s="3">
        <v>12.0</v>
      </c>
      <c r="E9" s="3">
        <v>12.0</v>
      </c>
      <c r="F9" s="3">
        <v>12.0</v>
      </c>
      <c r="G9" s="3">
        <v>12.0</v>
      </c>
      <c r="H9" s="2">
        <v>11.0</v>
      </c>
      <c r="I9" s="2">
        <v>10.0</v>
      </c>
      <c r="J9" s="2">
        <v>10.0</v>
      </c>
      <c r="K9" s="2">
        <v>11.0</v>
      </c>
      <c r="L9" s="2">
        <v>11.0</v>
      </c>
      <c r="M9" s="2">
        <v>10.0</v>
      </c>
      <c r="N9" s="2">
        <v>9.0</v>
      </c>
      <c r="O9" s="2">
        <v>9.0</v>
      </c>
      <c r="P9" s="2">
        <v>7.0</v>
      </c>
      <c r="Q9" s="2">
        <v>10.0</v>
      </c>
      <c r="R9" s="2">
        <v>9.0</v>
      </c>
      <c r="S9" s="2">
        <v>8.0</v>
      </c>
      <c r="T9" s="2">
        <v>9.0</v>
      </c>
      <c r="U9" s="2">
        <v>9.0</v>
      </c>
      <c r="V9" s="2">
        <v>8.0</v>
      </c>
      <c r="W9" s="2">
        <v>9.0</v>
      </c>
      <c r="X9" s="2">
        <v>9.0</v>
      </c>
      <c r="Y9" s="2">
        <v>8.0</v>
      </c>
      <c r="Z9" s="2">
        <v>4.0</v>
      </c>
      <c r="AA9" s="2">
        <v>4.0</v>
      </c>
      <c r="AB9" s="2">
        <v>4.0</v>
      </c>
      <c r="AC9" s="2">
        <v>9.0</v>
      </c>
      <c r="AD9" s="2">
        <v>9.0</v>
      </c>
      <c r="AE9" s="2">
        <v>8.0</v>
      </c>
      <c r="AF9" s="2">
        <v>11.0</v>
      </c>
      <c r="AG9" s="3">
        <v>12.0</v>
      </c>
      <c r="AH9" s="3">
        <v>12.0</v>
      </c>
      <c r="AI9" s="2">
        <v>11.0</v>
      </c>
      <c r="AJ9" s="3">
        <v>12.0</v>
      </c>
      <c r="AK9" s="3">
        <v>12.0</v>
      </c>
    </row>
    <row r="10">
      <c r="A10" s="1" t="s">
        <v>44</v>
      </c>
      <c r="B10" s="2">
        <v>0.0</v>
      </c>
      <c r="C10" s="2">
        <v>8.0</v>
      </c>
      <c r="D10" s="2">
        <v>8.0</v>
      </c>
      <c r="E10" s="2">
        <v>0.0</v>
      </c>
      <c r="F10" s="2">
        <v>8.0</v>
      </c>
      <c r="G10" s="2">
        <v>8.0</v>
      </c>
      <c r="H10" s="2">
        <v>0.0</v>
      </c>
      <c r="I10" s="2">
        <v>9.0</v>
      </c>
      <c r="J10" s="2">
        <v>9.0</v>
      </c>
      <c r="K10" s="2">
        <v>0.0</v>
      </c>
      <c r="L10" s="3">
        <v>10.0</v>
      </c>
      <c r="M10" s="3">
        <v>10.0</v>
      </c>
      <c r="N10" s="2">
        <v>0.0</v>
      </c>
      <c r="O10" s="2">
        <v>9.0</v>
      </c>
      <c r="P10" s="2">
        <v>8.0</v>
      </c>
      <c r="Q10" s="2">
        <v>0.0</v>
      </c>
      <c r="R10" s="2">
        <v>7.0</v>
      </c>
      <c r="S10" s="2">
        <v>7.0</v>
      </c>
      <c r="T10" s="2">
        <v>0.0</v>
      </c>
      <c r="U10" s="2">
        <v>7.0</v>
      </c>
      <c r="V10" s="2">
        <v>7.0</v>
      </c>
      <c r="W10" s="2">
        <v>0.0</v>
      </c>
      <c r="X10" s="2">
        <v>8.0</v>
      </c>
      <c r="Y10" s="2">
        <v>8.0</v>
      </c>
      <c r="Z10" s="2">
        <v>0.0</v>
      </c>
      <c r="AA10" s="2">
        <v>3.0</v>
      </c>
      <c r="AB10" s="2">
        <v>3.0</v>
      </c>
      <c r="AC10" s="2">
        <v>0.0</v>
      </c>
      <c r="AD10" s="2">
        <v>8.0</v>
      </c>
      <c r="AE10" s="2">
        <v>8.0</v>
      </c>
      <c r="AF10" s="2">
        <v>0.0</v>
      </c>
      <c r="AG10" s="3">
        <v>10.0</v>
      </c>
      <c r="AH10" s="3">
        <v>10.0</v>
      </c>
      <c r="AI10" s="2">
        <v>0.0</v>
      </c>
      <c r="AJ10" s="2">
        <v>9.0</v>
      </c>
      <c r="AK10" s="2">
        <v>9.0</v>
      </c>
    </row>
    <row r="11">
      <c r="A11" s="1" t="s">
        <v>45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1.0</v>
      </c>
      <c r="R11" s="3">
        <v>2.0</v>
      </c>
      <c r="S11" s="2">
        <v>0.0</v>
      </c>
      <c r="T11" s="2">
        <v>1.0</v>
      </c>
      <c r="U11" s="3">
        <v>2.0</v>
      </c>
      <c r="V11" s="2">
        <v>0.0</v>
      </c>
      <c r="W11" s="2">
        <v>1.0</v>
      </c>
      <c r="X11" s="3">
        <v>2.0</v>
      </c>
      <c r="Y11" s="2">
        <v>0.0</v>
      </c>
      <c r="Z11" s="3">
        <v>2.0</v>
      </c>
      <c r="AA11" s="3">
        <v>2.0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</row>
    <row r="12">
      <c r="A12" s="1" t="s">
        <v>46</v>
      </c>
      <c r="B12" s="2">
        <v>0.0</v>
      </c>
      <c r="C12" s="2">
        <v>4.0</v>
      </c>
      <c r="D12" s="2">
        <v>4.0</v>
      </c>
      <c r="E12" s="2">
        <v>0.0</v>
      </c>
      <c r="F12" s="2">
        <v>4.0</v>
      </c>
      <c r="G12" s="2">
        <v>4.0</v>
      </c>
      <c r="H12" s="2">
        <v>0.0</v>
      </c>
      <c r="I12" s="2">
        <v>3.0</v>
      </c>
      <c r="J12" s="2">
        <v>3.0</v>
      </c>
      <c r="K12" s="2">
        <v>0.0</v>
      </c>
      <c r="L12" s="2">
        <v>3.0</v>
      </c>
      <c r="M12" s="2">
        <v>3.0</v>
      </c>
      <c r="N12" s="2">
        <v>0.0</v>
      </c>
      <c r="O12" s="2">
        <v>3.0</v>
      </c>
      <c r="P12" s="2">
        <v>3.0</v>
      </c>
      <c r="Q12" s="2">
        <v>0.0</v>
      </c>
      <c r="R12" s="2">
        <v>3.0</v>
      </c>
      <c r="S12" s="2">
        <v>3.0</v>
      </c>
      <c r="T12" s="2">
        <v>0.0</v>
      </c>
      <c r="U12" s="2">
        <v>3.0</v>
      </c>
      <c r="V12" s="2">
        <v>3.0</v>
      </c>
      <c r="W12" s="2">
        <v>0.0</v>
      </c>
      <c r="X12" s="2">
        <v>3.0</v>
      </c>
      <c r="Y12" s="2">
        <v>3.0</v>
      </c>
      <c r="Z12" s="2">
        <v>0.0</v>
      </c>
      <c r="AA12" s="2">
        <v>3.0</v>
      </c>
      <c r="AB12" s="2">
        <v>2.0</v>
      </c>
      <c r="AC12" s="2">
        <v>0.0</v>
      </c>
      <c r="AD12" s="3">
        <v>5.0</v>
      </c>
      <c r="AE12" s="3">
        <v>5.0</v>
      </c>
      <c r="AF12" s="2">
        <v>0.0</v>
      </c>
      <c r="AG12" s="2">
        <v>3.0</v>
      </c>
      <c r="AH12" s="2">
        <v>3.0</v>
      </c>
      <c r="AI12" s="2">
        <v>0.0</v>
      </c>
      <c r="AJ12" s="2">
        <v>4.0</v>
      </c>
      <c r="AK12" s="2">
        <v>4.0</v>
      </c>
    </row>
    <row r="13">
      <c r="A13" s="1" t="s">
        <v>47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3">
        <v>3.0</v>
      </c>
      <c r="L13" s="2">
        <v>0.0</v>
      </c>
      <c r="M13" s="2">
        <v>0.0</v>
      </c>
      <c r="N13" s="2">
        <v>2.0</v>
      </c>
      <c r="O13" s="2">
        <v>0.0</v>
      </c>
      <c r="P13" s="2">
        <v>0.0</v>
      </c>
      <c r="Q13" s="2">
        <v>2.0</v>
      </c>
      <c r="R13" s="2">
        <v>0.0</v>
      </c>
      <c r="S13" s="2">
        <v>0.0</v>
      </c>
      <c r="T13" s="2">
        <v>2.0</v>
      </c>
      <c r="U13" s="2">
        <v>0.0</v>
      </c>
      <c r="V13" s="2">
        <v>0.0</v>
      </c>
      <c r="W13" s="2">
        <v>2.0</v>
      </c>
      <c r="X13" s="2">
        <v>0.0</v>
      </c>
      <c r="Y13" s="2">
        <v>0.0</v>
      </c>
      <c r="Z13" s="2">
        <v>2.0</v>
      </c>
      <c r="AA13" s="2">
        <v>0.0</v>
      </c>
      <c r="AB13" s="2">
        <v>0.0</v>
      </c>
      <c r="AC13" s="3">
        <v>3.0</v>
      </c>
      <c r="AD13" s="2">
        <v>0.0</v>
      </c>
      <c r="AE13" s="2">
        <v>0.0</v>
      </c>
      <c r="AF13" s="3">
        <v>3.0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</row>
    <row r="14">
      <c r="A14" s="1" t="s">
        <v>48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14.0</v>
      </c>
      <c r="I14" s="2">
        <v>13.0</v>
      </c>
      <c r="J14" s="2">
        <v>13.0</v>
      </c>
      <c r="K14" s="3">
        <v>16.0</v>
      </c>
      <c r="L14" s="3">
        <v>16.0</v>
      </c>
      <c r="M14" s="3">
        <v>16.0</v>
      </c>
      <c r="N14" s="2">
        <v>12.0</v>
      </c>
      <c r="O14" s="2">
        <v>12.0</v>
      </c>
      <c r="P14" s="2">
        <v>12.0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</row>
    <row r="15">
      <c r="A15" s="1" t="s">
        <v>49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3.0</v>
      </c>
      <c r="AB15" s="2">
        <v>3.0</v>
      </c>
      <c r="AC15" s="2">
        <v>0.0</v>
      </c>
      <c r="AD15" s="3">
        <v>5.0</v>
      </c>
      <c r="AE15" s="3">
        <v>5.0</v>
      </c>
      <c r="AF15" s="2">
        <v>0.0</v>
      </c>
      <c r="AG15" s="3">
        <v>5.0</v>
      </c>
      <c r="AH15" s="3">
        <v>5.0</v>
      </c>
      <c r="AI15" s="2">
        <v>0.0</v>
      </c>
      <c r="AJ15" s="2">
        <v>0.0</v>
      </c>
      <c r="AK15" s="2">
        <v>0.0</v>
      </c>
    </row>
    <row r="16">
      <c r="A16" s="1" t="s">
        <v>50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3">
        <v>3.0</v>
      </c>
      <c r="L16" s="2">
        <v>0.0</v>
      </c>
      <c r="M16" s="2">
        <v>0.0</v>
      </c>
      <c r="N16" s="2">
        <v>2.0</v>
      </c>
      <c r="O16" s="2">
        <v>0.0</v>
      </c>
      <c r="P16" s="2">
        <v>0.0</v>
      </c>
      <c r="Q16" s="2">
        <v>2.0</v>
      </c>
      <c r="R16" s="2">
        <v>0.0</v>
      </c>
      <c r="S16" s="2">
        <v>0.0</v>
      </c>
      <c r="T16" s="2">
        <v>2.0</v>
      </c>
      <c r="U16" s="2">
        <v>0.0</v>
      </c>
      <c r="V16" s="2">
        <v>0.0</v>
      </c>
      <c r="W16" s="2">
        <v>2.0</v>
      </c>
      <c r="X16" s="2">
        <v>0.0</v>
      </c>
      <c r="Y16" s="2">
        <v>0.0</v>
      </c>
      <c r="Z16" s="2">
        <v>2.0</v>
      </c>
      <c r="AA16" s="2">
        <v>0.0</v>
      </c>
      <c r="AB16" s="2">
        <v>0.0</v>
      </c>
      <c r="AC16" s="3">
        <v>3.0</v>
      </c>
      <c r="AD16" s="2">
        <v>0.0</v>
      </c>
      <c r="AE16" s="2">
        <v>0.0</v>
      </c>
      <c r="AF16" s="3">
        <v>3.0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</row>
    <row r="17">
      <c r="A17" s="1" t="s">
        <v>51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3">
        <v>2.0</v>
      </c>
      <c r="O17" s="2">
        <v>0.0</v>
      </c>
      <c r="P17" s="2">
        <v>0.0</v>
      </c>
      <c r="Q17" s="3">
        <v>2.0</v>
      </c>
      <c r="R17" s="2">
        <v>0.0</v>
      </c>
      <c r="S17" s="2">
        <v>0.0</v>
      </c>
      <c r="T17" s="3">
        <v>2.0</v>
      </c>
      <c r="U17" s="2">
        <v>0.0</v>
      </c>
      <c r="V17" s="2">
        <v>0.0</v>
      </c>
      <c r="W17" s="3">
        <v>2.0</v>
      </c>
      <c r="X17" s="2">
        <v>0.0</v>
      </c>
      <c r="Y17" s="2">
        <v>0.0</v>
      </c>
      <c r="Z17" s="3">
        <v>2.0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</row>
    <row r="18">
      <c r="A18" s="1" t="s">
        <v>52</v>
      </c>
      <c r="B18" s="2">
        <v>7.0</v>
      </c>
      <c r="C18" s="2">
        <v>0.0</v>
      </c>
      <c r="D18" s="2">
        <v>0.0</v>
      </c>
      <c r="E18" s="2">
        <v>7.0</v>
      </c>
      <c r="F18" s="2">
        <v>0.0</v>
      </c>
      <c r="G18" s="2">
        <v>0.0</v>
      </c>
      <c r="H18" s="3">
        <v>9.0</v>
      </c>
      <c r="I18" s="2">
        <v>0.0</v>
      </c>
      <c r="J18" s="2">
        <v>0.0</v>
      </c>
      <c r="K18" s="3">
        <v>9.0</v>
      </c>
      <c r="L18" s="2">
        <v>0.0</v>
      </c>
      <c r="M18" s="2">
        <v>0.0</v>
      </c>
      <c r="N18" s="2">
        <v>8.0</v>
      </c>
      <c r="O18" s="2">
        <v>0.0</v>
      </c>
      <c r="P18" s="2">
        <v>0.0</v>
      </c>
      <c r="Q18" s="2">
        <v>8.0</v>
      </c>
      <c r="R18" s="2">
        <v>0.0</v>
      </c>
      <c r="S18" s="2">
        <v>0.0</v>
      </c>
      <c r="T18" s="2">
        <v>7.0</v>
      </c>
      <c r="U18" s="2">
        <v>0.0</v>
      </c>
      <c r="V18" s="2">
        <v>0.0</v>
      </c>
      <c r="W18" s="2">
        <v>7.0</v>
      </c>
      <c r="X18" s="2">
        <v>0.0</v>
      </c>
      <c r="Y18" s="2">
        <v>0.0</v>
      </c>
      <c r="Z18" s="2">
        <v>6.0</v>
      </c>
      <c r="AA18" s="2">
        <v>0.0</v>
      </c>
      <c r="AB18" s="2">
        <v>0.0</v>
      </c>
      <c r="AC18" s="3">
        <v>9.0</v>
      </c>
      <c r="AD18" s="2">
        <v>0.0</v>
      </c>
      <c r="AE18" s="2">
        <v>0.0</v>
      </c>
      <c r="AF18" s="2">
        <v>8.0</v>
      </c>
      <c r="AG18" s="2">
        <v>0.0</v>
      </c>
      <c r="AH18" s="2">
        <v>0.0</v>
      </c>
      <c r="AI18" s="2">
        <v>8.0</v>
      </c>
      <c r="AJ18" s="2">
        <v>0.0</v>
      </c>
      <c r="AK18" s="2">
        <v>0.0</v>
      </c>
    </row>
    <row r="19">
      <c r="A19" s="1" t="s">
        <v>53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A19" s="2">
        <v>1.0</v>
      </c>
      <c r="AB19" s="2">
        <v>1.0</v>
      </c>
      <c r="AC19" s="3">
        <v>2.0</v>
      </c>
      <c r="AD19" s="3">
        <v>2.0</v>
      </c>
      <c r="AE19" s="3">
        <v>2.0</v>
      </c>
      <c r="AF19" s="2">
        <v>1.0</v>
      </c>
      <c r="AG19" s="3">
        <v>2.0</v>
      </c>
      <c r="AH19" s="3">
        <v>2.0</v>
      </c>
      <c r="AI19" s="2">
        <v>1.0</v>
      </c>
      <c r="AJ19" s="2">
        <v>1.0</v>
      </c>
      <c r="AK19" s="2">
        <v>1.0</v>
      </c>
    </row>
    <row r="20">
      <c r="A20" s="1" t="s">
        <v>54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2.0</v>
      </c>
      <c r="R20" s="2">
        <v>0.0</v>
      </c>
      <c r="S20" s="2">
        <v>1.0</v>
      </c>
      <c r="T20" s="2">
        <v>2.0</v>
      </c>
      <c r="U20" s="2">
        <v>0.0</v>
      </c>
      <c r="V20" s="2">
        <v>1.0</v>
      </c>
      <c r="W20" s="2">
        <v>2.0</v>
      </c>
      <c r="X20" s="2">
        <v>0.0</v>
      </c>
      <c r="Y20" s="2">
        <v>1.0</v>
      </c>
      <c r="Z20" s="3">
        <v>3.0</v>
      </c>
      <c r="AA20" s="2">
        <v>0.0</v>
      </c>
      <c r="AB20" s="2">
        <v>1.0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</row>
    <row r="21">
      <c r="A21" s="1" t="s">
        <v>55</v>
      </c>
      <c r="B21" s="2">
        <v>18.0</v>
      </c>
      <c r="C21" s="2">
        <v>18.0</v>
      </c>
      <c r="D21" s="2">
        <v>18.0</v>
      </c>
      <c r="E21" s="2">
        <v>18.0</v>
      </c>
      <c r="F21" s="2">
        <v>18.0</v>
      </c>
      <c r="G21" s="2">
        <v>18.0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3">
        <v>20.0</v>
      </c>
      <c r="AJ21" s="3">
        <v>20.0</v>
      </c>
      <c r="AK21" s="3">
        <v>20.0</v>
      </c>
    </row>
    <row r="22">
      <c r="A22" s="1" t="s">
        <v>56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0.0</v>
      </c>
      <c r="P22" s="2">
        <v>0.0</v>
      </c>
      <c r="Q22" s="2">
        <v>2.0</v>
      </c>
      <c r="R22" s="2">
        <v>0.0</v>
      </c>
      <c r="S22" s="2">
        <v>0.0</v>
      </c>
      <c r="T22" s="2">
        <v>2.0</v>
      </c>
      <c r="U22" s="2">
        <v>0.0</v>
      </c>
      <c r="V22" s="2">
        <v>0.0</v>
      </c>
      <c r="W22" s="2">
        <v>2.0</v>
      </c>
      <c r="X22" s="2">
        <v>0.0</v>
      </c>
      <c r="Y22" s="2">
        <v>0.0</v>
      </c>
      <c r="Z22" s="2">
        <v>2.0</v>
      </c>
      <c r="AA22" s="2">
        <v>0.0</v>
      </c>
      <c r="AB22" s="2">
        <v>0.0</v>
      </c>
      <c r="AC22" s="3">
        <v>3.0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</row>
    <row r="23">
      <c r="A23" s="1" t="s">
        <v>57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3">
        <v>1.0</v>
      </c>
      <c r="T23" s="2">
        <v>0.0</v>
      </c>
      <c r="U23" s="2">
        <v>0.0</v>
      </c>
      <c r="V23" s="3">
        <v>1.0</v>
      </c>
      <c r="W23" s="2">
        <v>0.0</v>
      </c>
      <c r="X23" s="2">
        <v>0.0</v>
      </c>
      <c r="Y23" s="3">
        <v>1.0</v>
      </c>
      <c r="Z23" s="2">
        <v>0.0</v>
      </c>
      <c r="AA23" s="2">
        <v>0.0</v>
      </c>
      <c r="AB23" s="3">
        <v>1.0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</row>
    <row r="24">
      <c r="A24" s="1" t="s">
        <v>58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2.0</v>
      </c>
      <c r="N24" s="2">
        <v>0.0</v>
      </c>
      <c r="O24" s="2">
        <v>0.0</v>
      </c>
      <c r="P24" s="2">
        <v>2.0</v>
      </c>
      <c r="Q24" s="2">
        <v>0.0</v>
      </c>
      <c r="R24" s="2">
        <v>0.0</v>
      </c>
      <c r="S24" s="2">
        <v>2.0</v>
      </c>
      <c r="T24" s="2">
        <v>0.0</v>
      </c>
      <c r="U24" s="2">
        <v>0.0</v>
      </c>
      <c r="V24" s="2">
        <v>2.0</v>
      </c>
      <c r="W24" s="2">
        <v>0.0</v>
      </c>
      <c r="X24" s="2">
        <v>0.0</v>
      </c>
      <c r="Y24" s="2">
        <v>2.0</v>
      </c>
      <c r="Z24" s="2">
        <v>0.0</v>
      </c>
      <c r="AA24" s="2">
        <v>0.0</v>
      </c>
      <c r="AB24" s="2">
        <v>2.0</v>
      </c>
      <c r="AC24" s="2">
        <v>0.0</v>
      </c>
      <c r="AD24" s="2">
        <v>0.0</v>
      </c>
      <c r="AE24" s="3">
        <v>3.0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</row>
    <row r="25">
      <c r="A25" s="1" t="s">
        <v>59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3">
        <v>4.0</v>
      </c>
      <c r="Y25" s="3">
        <v>4.0</v>
      </c>
      <c r="Z25" s="2">
        <v>0.0</v>
      </c>
      <c r="AA25" s="3">
        <v>4.0</v>
      </c>
      <c r="AB25" s="3">
        <v>4.0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</row>
    <row r="26">
      <c r="A26" s="1" t="s">
        <v>60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8.0</v>
      </c>
      <c r="U26" s="2">
        <v>9.0</v>
      </c>
      <c r="V26" s="2">
        <v>9.0</v>
      </c>
      <c r="W26" s="3">
        <v>10.0</v>
      </c>
      <c r="X26" s="3">
        <v>10.0</v>
      </c>
      <c r="Y26" s="2">
        <v>9.0</v>
      </c>
      <c r="Z26" s="2">
        <v>7.0</v>
      </c>
      <c r="AA26" s="2">
        <v>7.0</v>
      </c>
      <c r="AB26" s="2">
        <v>5.0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</row>
    <row r="27">
      <c r="A27" s="1" t="s">
        <v>61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7.0</v>
      </c>
      <c r="R27" s="2">
        <v>7.0</v>
      </c>
      <c r="S27" s="2">
        <v>7.0</v>
      </c>
      <c r="T27" s="2">
        <v>7.0</v>
      </c>
      <c r="U27" s="2">
        <v>7.0</v>
      </c>
      <c r="V27" s="2">
        <v>7.0</v>
      </c>
      <c r="W27" s="2">
        <v>7.0</v>
      </c>
      <c r="X27" s="2">
        <v>7.0</v>
      </c>
      <c r="Y27" s="2">
        <v>7.0</v>
      </c>
      <c r="Z27" s="2">
        <v>8.0</v>
      </c>
      <c r="AA27" s="2">
        <v>8.0</v>
      </c>
      <c r="AB27" s="2">
        <v>8.0</v>
      </c>
      <c r="AC27" s="3">
        <v>9.0</v>
      </c>
      <c r="AD27" s="3">
        <v>9.0</v>
      </c>
      <c r="AE27" s="2">
        <v>8.0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</row>
    <row r="28">
      <c r="A28" s="1" t="s">
        <v>62</v>
      </c>
      <c r="B28" s="2">
        <v>8.0</v>
      </c>
      <c r="C28" s="2">
        <v>8.0</v>
      </c>
      <c r="D28" s="2">
        <v>8.0</v>
      </c>
      <c r="E28" s="2">
        <v>8.0</v>
      </c>
      <c r="F28" s="2">
        <v>8.0</v>
      </c>
      <c r="G28" s="2">
        <v>8.0</v>
      </c>
      <c r="H28" s="2">
        <v>7.0</v>
      </c>
      <c r="I28" s="2">
        <v>7.0</v>
      </c>
      <c r="J28" s="2">
        <v>7.0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8.0</v>
      </c>
      <c r="AD28" s="2">
        <v>8.0</v>
      </c>
      <c r="AE28" s="2">
        <v>8.0</v>
      </c>
      <c r="AF28" s="2">
        <v>9.0</v>
      </c>
      <c r="AG28" s="3">
        <v>10.0</v>
      </c>
      <c r="AH28" s="2">
        <v>9.0</v>
      </c>
      <c r="AI28" s="2">
        <v>8.0</v>
      </c>
      <c r="AJ28" s="2">
        <v>8.0</v>
      </c>
      <c r="AK28" s="2">
        <v>8.0</v>
      </c>
    </row>
    <row r="29">
      <c r="A29" s="1" t="s">
        <v>63</v>
      </c>
      <c r="B29" s="3">
        <v>2.0</v>
      </c>
      <c r="C29" s="3">
        <v>2.0</v>
      </c>
      <c r="D29" s="3">
        <v>2.0</v>
      </c>
      <c r="E29" s="3">
        <v>2.0</v>
      </c>
      <c r="F29" s="3">
        <v>2.0</v>
      </c>
      <c r="G29" s="3">
        <v>2.0</v>
      </c>
      <c r="H29" s="3">
        <v>2.0</v>
      </c>
      <c r="I29" s="3">
        <v>2.0</v>
      </c>
      <c r="J29" s="3">
        <v>2.0</v>
      </c>
      <c r="K29" s="3">
        <v>2.0</v>
      </c>
      <c r="L29" s="3">
        <v>2.0</v>
      </c>
      <c r="M29" s="3">
        <v>2.0</v>
      </c>
      <c r="N29" s="3">
        <v>2.0</v>
      </c>
      <c r="O29" s="3">
        <v>2.0</v>
      </c>
      <c r="P29" s="3">
        <v>2.0</v>
      </c>
      <c r="Q29" s="3">
        <v>2.0</v>
      </c>
      <c r="R29" s="3">
        <v>2.0</v>
      </c>
      <c r="S29" s="3">
        <v>2.0</v>
      </c>
      <c r="T29" s="3">
        <v>2.0</v>
      </c>
      <c r="U29" s="3">
        <v>2.0</v>
      </c>
      <c r="V29" s="3">
        <v>2.0</v>
      </c>
      <c r="W29" s="3">
        <v>2.0</v>
      </c>
      <c r="X29" s="3">
        <v>2.0</v>
      </c>
      <c r="Y29" s="3">
        <v>2.0</v>
      </c>
      <c r="Z29" s="3">
        <v>2.0</v>
      </c>
      <c r="AA29" s="3">
        <v>2.0</v>
      </c>
      <c r="AB29" s="3">
        <v>2.0</v>
      </c>
      <c r="AC29" s="3">
        <v>2.0</v>
      </c>
      <c r="AD29" s="3">
        <v>2.0</v>
      </c>
      <c r="AE29" s="3">
        <v>2.0</v>
      </c>
      <c r="AF29" s="3">
        <v>2.0</v>
      </c>
      <c r="AG29" s="3">
        <v>2.0</v>
      </c>
      <c r="AH29" s="3">
        <v>2.0</v>
      </c>
      <c r="AI29" s="3">
        <v>2.0</v>
      </c>
      <c r="AJ29" s="3">
        <v>2.0</v>
      </c>
      <c r="AK29" s="3">
        <v>2.0</v>
      </c>
    </row>
    <row r="30">
      <c r="A30" s="1" t="s">
        <v>64</v>
      </c>
      <c r="B30" s="3">
        <v>1.0</v>
      </c>
      <c r="C30" s="3">
        <v>1.0</v>
      </c>
      <c r="D30" s="3">
        <v>1.0</v>
      </c>
      <c r="E30" s="3">
        <v>1.0</v>
      </c>
      <c r="F30" s="3">
        <v>1.0</v>
      </c>
      <c r="G30" s="3">
        <v>1.0</v>
      </c>
      <c r="H30" s="3">
        <v>1.0</v>
      </c>
      <c r="I30" s="3">
        <v>1.0</v>
      </c>
      <c r="J30" s="3">
        <v>1.0</v>
      </c>
      <c r="K30" s="3">
        <v>1.0</v>
      </c>
      <c r="L30" s="3">
        <v>1.0</v>
      </c>
      <c r="M30" s="3">
        <v>1.0</v>
      </c>
      <c r="N30" s="3">
        <v>1.0</v>
      </c>
      <c r="O30" s="3">
        <v>1.0</v>
      </c>
      <c r="P30" s="3">
        <v>1.0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1.0</v>
      </c>
      <c r="W30" s="3">
        <v>1.0</v>
      </c>
      <c r="X30" s="3">
        <v>1.0</v>
      </c>
      <c r="Y30" s="3">
        <v>1.0</v>
      </c>
      <c r="Z30" s="3">
        <v>1.0</v>
      </c>
      <c r="AA30" s="3">
        <v>1.0</v>
      </c>
      <c r="AB30" s="3">
        <v>1.0</v>
      </c>
      <c r="AC30" s="3">
        <v>1.0</v>
      </c>
      <c r="AD30" s="3">
        <v>1.0</v>
      </c>
      <c r="AE30" s="3">
        <v>1.0</v>
      </c>
      <c r="AF30" s="3">
        <v>1.0</v>
      </c>
      <c r="AG30" s="3">
        <v>1.0</v>
      </c>
      <c r="AH30" s="3">
        <v>1.0</v>
      </c>
      <c r="AI30" s="3">
        <v>1.0</v>
      </c>
      <c r="AJ30" s="3">
        <v>1.0</v>
      </c>
      <c r="AK30" s="3">
        <v>1.0</v>
      </c>
    </row>
    <row r="31">
      <c r="A31" s="1" t="s">
        <v>65</v>
      </c>
      <c r="B31" s="3">
        <v>1.0</v>
      </c>
      <c r="C31" s="3">
        <v>1.0</v>
      </c>
      <c r="D31" s="3">
        <v>1.0</v>
      </c>
      <c r="E31" s="3">
        <v>1.0</v>
      </c>
      <c r="F31" s="3">
        <v>1.0</v>
      </c>
      <c r="G31" s="3">
        <v>1.0</v>
      </c>
      <c r="H31" s="3">
        <v>1.0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  <c r="N31" s="3">
        <v>1.0</v>
      </c>
      <c r="O31" s="3">
        <v>1.0</v>
      </c>
      <c r="P31" s="3">
        <v>1.0</v>
      </c>
      <c r="Q31" s="3">
        <v>1.0</v>
      </c>
      <c r="R31" s="3">
        <v>1.0</v>
      </c>
      <c r="S31" s="3">
        <v>1.0</v>
      </c>
      <c r="T31" s="3">
        <v>1.0</v>
      </c>
      <c r="U31" s="3">
        <v>1.0</v>
      </c>
      <c r="V31" s="3">
        <v>1.0</v>
      </c>
      <c r="W31" s="3">
        <v>1.0</v>
      </c>
      <c r="X31" s="3">
        <v>1.0</v>
      </c>
      <c r="Y31" s="3">
        <v>1.0</v>
      </c>
      <c r="Z31" s="3">
        <v>1.0</v>
      </c>
      <c r="AA31" s="3">
        <v>1.0</v>
      </c>
      <c r="AB31" s="3">
        <v>1.0</v>
      </c>
      <c r="AC31" s="3">
        <v>1.0</v>
      </c>
      <c r="AD31" s="3">
        <v>1.0</v>
      </c>
      <c r="AE31" s="3">
        <v>1.0</v>
      </c>
      <c r="AF31" s="3">
        <v>1.0</v>
      </c>
      <c r="AG31" s="3">
        <v>1.0</v>
      </c>
      <c r="AH31" s="3">
        <v>1.0</v>
      </c>
      <c r="AI31" s="3">
        <v>1.0</v>
      </c>
      <c r="AJ31" s="3">
        <v>1.0</v>
      </c>
      <c r="AK31" s="3">
        <v>1.0</v>
      </c>
    </row>
    <row r="32">
      <c r="A32" s="1" t="s">
        <v>66</v>
      </c>
      <c r="B32" s="3">
        <v>2.0</v>
      </c>
      <c r="C32" s="3">
        <v>2.0</v>
      </c>
      <c r="D32" s="3">
        <v>2.0</v>
      </c>
      <c r="E32" s="3">
        <v>2.0</v>
      </c>
      <c r="F32" s="3">
        <v>2.0</v>
      </c>
      <c r="G32" s="3">
        <v>2.0</v>
      </c>
      <c r="H32" s="3">
        <v>2.0</v>
      </c>
      <c r="I32" s="3">
        <v>2.0</v>
      </c>
      <c r="J32" s="3">
        <v>2.0</v>
      </c>
      <c r="K32" s="3">
        <v>2.0</v>
      </c>
      <c r="L32" s="3">
        <v>2.0</v>
      </c>
      <c r="M32" s="3">
        <v>2.0</v>
      </c>
      <c r="N32" s="3">
        <v>2.0</v>
      </c>
      <c r="O32" s="3">
        <v>2.0</v>
      </c>
      <c r="P32" s="3">
        <v>2.0</v>
      </c>
      <c r="Q32" s="3">
        <v>2.0</v>
      </c>
      <c r="R32" s="3">
        <v>2.0</v>
      </c>
      <c r="S32" s="3">
        <v>2.0</v>
      </c>
      <c r="T32" s="3">
        <v>2.0</v>
      </c>
      <c r="U32" s="3">
        <v>2.0</v>
      </c>
      <c r="V32" s="3">
        <v>2.0</v>
      </c>
      <c r="W32" s="3">
        <v>2.0</v>
      </c>
      <c r="X32" s="3">
        <v>2.0</v>
      </c>
      <c r="Y32" s="3">
        <v>2.0</v>
      </c>
      <c r="Z32" s="3">
        <v>2.0</v>
      </c>
      <c r="AA32" s="3">
        <v>2.0</v>
      </c>
      <c r="AB32" s="3">
        <v>2.0</v>
      </c>
      <c r="AC32" s="3">
        <v>2.0</v>
      </c>
      <c r="AD32" s="3">
        <v>2.0</v>
      </c>
      <c r="AE32" s="3">
        <v>2.0</v>
      </c>
      <c r="AF32" s="3">
        <v>2.0</v>
      </c>
      <c r="AG32" s="3">
        <v>2.0</v>
      </c>
      <c r="AH32" s="3">
        <v>2.0</v>
      </c>
      <c r="AI32" s="3">
        <v>2.0</v>
      </c>
      <c r="AJ32" s="3">
        <v>2.0</v>
      </c>
      <c r="AK32" s="3">
        <v>2.0</v>
      </c>
    </row>
    <row r="33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20</v>
      </c>
      <c r="W33" s="1" t="s">
        <v>21</v>
      </c>
      <c r="X33" s="1" t="s">
        <v>22</v>
      </c>
      <c r="Y33" s="1" t="s">
        <v>23</v>
      </c>
      <c r="Z33" s="1" t="s">
        <v>24</v>
      </c>
      <c r="AA33" s="1" t="s">
        <v>25</v>
      </c>
      <c r="AB33" s="1" t="s">
        <v>26</v>
      </c>
      <c r="AC33" s="1" t="s">
        <v>27</v>
      </c>
      <c r="AD33" s="1" t="s">
        <v>28</v>
      </c>
      <c r="AE33" s="1" t="s">
        <v>29</v>
      </c>
      <c r="AF33" s="1" t="s">
        <v>30</v>
      </c>
      <c r="AG33" s="1" t="s">
        <v>31</v>
      </c>
      <c r="AH33" s="1" t="s">
        <v>32</v>
      </c>
      <c r="AI33" s="1" t="s">
        <v>33</v>
      </c>
      <c r="AJ33" s="1" t="s">
        <v>34</v>
      </c>
      <c r="AK33" s="1" t="s">
        <v>35</v>
      </c>
    </row>
    <row r="34">
      <c r="A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AJ34" s="2"/>
      <c r="AK34" s="2"/>
    </row>
    <row r="36">
      <c r="B36" s="1"/>
      <c r="C36" s="1"/>
      <c r="D36" s="1"/>
    </row>
    <row r="88">
      <c r="B88" s="2"/>
      <c r="C88" s="2"/>
      <c r="D88" s="2"/>
    </row>
  </sheetData>
  <conditionalFormatting sqref="B2:AK28">
    <cfRule type="cellIs" dxfId="0" priority="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M1" s="5"/>
      <c r="AN1" s="6" t="s">
        <v>67</v>
      </c>
    </row>
    <row r="2">
      <c r="A2" s="4" t="s">
        <v>36</v>
      </c>
      <c r="B2" s="7">
        <f t="array" ref="B2:AK32">IF(
    'River (Original Data)'!B2:AK32 = "",
    "",
    'River (Original Data)'!B2:AK32 / (MMULT(TRANSPOSE(SIGN(ROW('River (Original Data)'!B2:AK32))), N('River (Original Data)'!B2:AK32)))
  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0.058823529411764705</v>
      </c>
      <c r="P2" s="7">
        <v>0.061224489795918366</v>
      </c>
      <c r="Q2" s="7">
        <v>0.0</v>
      </c>
      <c r="R2" s="7">
        <v>0.061224489795918366</v>
      </c>
      <c r="S2" s="7">
        <v>0.06</v>
      </c>
      <c r="T2" s="7">
        <v>0.0</v>
      </c>
      <c r="U2" s="7">
        <v>0.03636363636363636</v>
      </c>
      <c r="V2" s="7">
        <v>0.03571428571428571</v>
      </c>
      <c r="W2" s="7">
        <v>0.0</v>
      </c>
      <c r="X2" s="7">
        <v>0.03278688524590164</v>
      </c>
      <c r="Y2" s="7">
        <v>0.03225806451612903</v>
      </c>
      <c r="Z2" s="7">
        <v>0.0</v>
      </c>
      <c r="AA2" s="7">
        <v>0.04081632653061224</v>
      </c>
      <c r="AB2" s="7">
        <v>0.04081632653061224</v>
      </c>
      <c r="AC2" s="7">
        <v>0.0</v>
      </c>
      <c r="AD2" s="7">
        <v>0.07352941176470588</v>
      </c>
      <c r="AE2" s="7">
        <v>0.07352941176470588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M2" s="6" t="s">
        <v>36</v>
      </c>
      <c r="AN2" s="8">
        <v>3000.0</v>
      </c>
    </row>
    <row r="3">
      <c r="A3" s="4" t="s">
        <v>37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0.02040816326530612</v>
      </c>
      <c r="S3" s="7">
        <v>0.02</v>
      </c>
      <c r="T3" s="7">
        <v>0.0</v>
      </c>
      <c r="U3" s="7">
        <v>0.01818181818181818</v>
      </c>
      <c r="V3" s="7">
        <v>0.017857142857142856</v>
      </c>
      <c r="W3" s="7">
        <v>0.0</v>
      </c>
      <c r="X3" s="7">
        <v>0.01639344262295082</v>
      </c>
      <c r="Y3" s="7">
        <v>0.016129032258064516</v>
      </c>
      <c r="Z3" s="7">
        <v>0.0</v>
      </c>
      <c r="AA3" s="7">
        <v>0.02040816326530612</v>
      </c>
      <c r="AB3" s="7">
        <v>0.02040816326530612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37</v>
      </c>
      <c r="AN3" s="8">
        <v>10000.0</v>
      </c>
    </row>
    <row r="4">
      <c r="A4" s="4" t="s">
        <v>38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0.02040816326530612</v>
      </c>
      <c r="S4" s="7">
        <v>0.04</v>
      </c>
      <c r="T4" s="7">
        <v>0.0</v>
      </c>
      <c r="U4" s="7">
        <v>0.01818181818181818</v>
      </c>
      <c r="V4" s="7">
        <v>0.03571428571428571</v>
      </c>
      <c r="W4" s="7">
        <v>0.0</v>
      </c>
      <c r="X4" s="7">
        <v>0.01639344262295082</v>
      </c>
      <c r="Y4" s="7">
        <v>0.03225806451612903</v>
      </c>
      <c r="Z4" s="7">
        <v>0.0</v>
      </c>
      <c r="AA4" s="7">
        <v>0.02040816326530612</v>
      </c>
      <c r="AB4" s="7">
        <v>0.04081632653061224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M4" s="6" t="s">
        <v>68</v>
      </c>
      <c r="AN4" s="8">
        <v>10000.0</v>
      </c>
    </row>
    <row r="5">
      <c r="A5" s="4" t="s">
        <v>39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0.031746031746031744</v>
      </c>
      <c r="O5" s="7">
        <v>0.0</v>
      </c>
      <c r="P5" s="7">
        <v>0.0</v>
      </c>
      <c r="Q5" s="7">
        <v>0.01639344262295082</v>
      </c>
      <c r="R5" s="7">
        <v>0.0</v>
      </c>
      <c r="S5" s="7">
        <v>0.0</v>
      </c>
      <c r="T5" s="7">
        <v>0.015625</v>
      </c>
      <c r="U5" s="7">
        <v>0.0</v>
      </c>
      <c r="V5" s="7">
        <v>0.0</v>
      </c>
      <c r="W5" s="7">
        <v>0.014925373134328358</v>
      </c>
      <c r="X5" s="7">
        <v>0.0</v>
      </c>
      <c r="Y5" s="7">
        <v>0.0</v>
      </c>
      <c r="Z5" s="7">
        <v>0.034482758620689655</v>
      </c>
      <c r="AA5" s="7">
        <v>0.0</v>
      </c>
      <c r="AB5" s="7">
        <v>0.0</v>
      </c>
      <c r="AC5" s="7">
        <v>0.0547945205479452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M5" s="6" t="s">
        <v>39</v>
      </c>
      <c r="AN5" s="8">
        <v>2500.0</v>
      </c>
    </row>
    <row r="6">
      <c r="A6" s="4" t="s">
        <v>40</v>
      </c>
      <c r="B6" s="7">
        <v>0.17647058823529413</v>
      </c>
      <c r="C6" s="7">
        <v>0.18292682926829268</v>
      </c>
      <c r="D6" s="7">
        <v>0.18292682926829268</v>
      </c>
      <c r="E6" s="7">
        <v>0.17647058823529413</v>
      </c>
      <c r="F6" s="7">
        <v>0.18292682926829268</v>
      </c>
      <c r="G6" s="7">
        <v>0.18292682926829268</v>
      </c>
      <c r="H6" s="7">
        <v>0.1728395061728395</v>
      </c>
      <c r="I6" s="7">
        <v>0.17142857142857143</v>
      </c>
      <c r="J6" s="7">
        <v>0.17142857142857143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0.22077922077922077</v>
      </c>
      <c r="AG6" s="7">
        <v>0.21621621621621623</v>
      </c>
      <c r="AH6" s="7">
        <v>0.21621621621621623</v>
      </c>
      <c r="AI6" s="7">
        <v>0.1511627906976744</v>
      </c>
      <c r="AJ6" s="7">
        <v>0.15294117647058825</v>
      </c>
      <c r="AK6" s="7">
        <v>0.15294117647058825</v>
      </c>
      <c r="AM6" s="6" t="s">
        <v>69</v>
      </c>
      <c r="AN6" s="8">
        <v>900.0</v>
      </c>
    </row>
    <row r="7">
      <c r="A7" s="4" t="s">
        <v>41</v>
      </c>
      <c r="B7" s="7">
        <v>0.12941176470588237</v>
      </c>
      <c r="C7" s="7">
        <v>0.13414634146341464</v>
      </c>
      <c r="D7" s="7">
        <v>0.13414634146341464</v>
      </c>
      <c r="E7" s="7">
        <v>0.12941176470588237</v>
      </c>
      <c r="F7" s="7">
        <v>0.13414634146341464</v>
      </c>
      <c r="G7" s="7">
        <v>0.13414634146341464</v>
      </c>
      <c r="H7" s="7">
        <v>0.13580246913580246</v>
      </c>
      <c r="I7" s="7">
        <v>0.14285714285714285</v>
      </c>
      <c r="J7" s="7">
        <v>0.14285714285714285</v>
      </c>
      <c r="K7" s="7">
        <v>0.13636363636363635</v>
      </c>
      <c r="L7" s="7">
        <v>0.16363636363636364</v>
      </c>
      <c r="M7" s="7">
        <v>0.16071428571428573</v>
      </c>
      <c r="N7" s="7">
        <v>0.15873015873015872</v>
      </c>
      <c r="O7" s="7">
        <v>0.17647058823529413</v>
      </c>
      <c r="P7" s="7">
        <v>0.16326530612244897</v>
      </c>
      <c r="Q7" s="7">
        <v>0.16393442622950818</v>
      </c>
      <c r="R7" s="7">
        <v>0.20408163265306123</v>
      </c>
      <c r="S7" s="7">
        <v>0.18</v>
      </c>
      <c r="T7" s="7">
        <v>0.125</v>
      </c>
      <c r="U7" s="7">
        <v>0.14545454545454545</v>
      </c>
      <c r="V7" s="7">
        <v>0.125</v>
      </c>
      <c r="W7" s="7">
        <v>0.13432835820895522</v>
      </c>
      <c r="X7" s="7">
        <v>0.13114754098360656</v>
      </c>
      <c r="Y7" s="7">
        <v>0.12903225806451613</v>
      </c>
      <c r="Z7" s="7">
        <v>0.08620689655172414</v>
      </c>
      <c r="AA7" s="7">
        <v>0.08163265306122448</v>
      </c>
      <c r="AB7" s="7">
        <v>0.08163265306122448</v>
      </c>
      <c r="AC7" s="7">
        <v>0.1232876712328767</v>
      </c>
      <c r="AD7" s="7">
        <v>0.16176470588235295</v>
      </c>
      <c r="AE7" s="7">
        <v>0.14705882352941177</v>
      </c>
      <c r="AF7" s="7">
        <v>0.11688311688311688</v>
      </c>
      <c r="AG7" s="7">
        <v>0.13513513513513514</v>
      </c>
      <c r="AH7" s="7">
        <v>0.14864864864864866</v>
      </c>
      <c r="AI7" s="7">
        <v>0.13953488372093023</v>
      </c>
      <c r="AJ7" s="7">
        <v>0.1411764705882353</v>
      </c>
      <c r="AK7" s="7">
        <v>0.1411764705882353</v>
      </c>
      <c r="AM7" s="6" t="s">
        <v>41</v>
      </c>
      <c r="AN7" s="8">
        <v>400.0</v>
      </c>
    </row>
    <row r="8">
      <c r="A8" s="4" t="s">
        <v>42</v>
      </c>
      <c r="B8" s="7">
        <v>0.09411764705882353</v>
      </c>
      <c r="C8" s="7">
        <v>0.0</v>
      </c>
      <c r="D8" s="7">
        <v>0.0</v>
      </c>
      <c r="E8" s="7">
        <v>0.09411764705882353</v>
      </c>
      <c r="F8" s="7">
        <v>0.0</v>
      </c>
      <c r="G8" s="7">
        <v>0.0</v>
      </c>
      <c r="H8" s="7">
        <v>0.1111111111111111</v>
      </c>
      <c r="I8" s="7">
        <v>0.0</v>
      </c>
      <c r="J8" s="7">
        <v>0.0</v>
      </c>
      <c r="K8" s="7">
        <v>0.13636363636363635</v>
      </c>
      <c r="L8" s="7">
        <v>0.0</v>
      </c>
      <c r="M8" s="7">
        <v>0.0</v>
      </c>
      <c r="N8" s="7">
        <v>0.12698412698412698</v>
      </c>
      <c r="O8" s="7">
        <v>0.0</v>
      </c>
      <c r="P8" s="7">
        <v>0.0</v>
      </c>
      <c r="Q8" s="7">
        <v>0.13114754098360656</v>
      </c>
      <c r="R8" s="7">
        <v>0.0</v>
      </c>
      <c r="S8" s="7">
        <v>0.0</v>
      </c>
      <c r="T8" s="7">
        <v>0.109375</v>
      </c>
      <c r="U8" s="7">
        <v>0.0</v>
      </c>
      <c r="V8" s="7">
        <v>0.0</v>
      </c>
      <c r="W8" s="7">
        <v>0.1044776119402985</v>
      </c>
      <c r="X8" s="7">
        <v>0.0</v>
      </c>
      <c r="Y8" s="7">
        <v>0.0</v>
      </c>
      <c r="Z8" s="7">
        <v>0.10344827586206896</v>
      </c>
      <c r="AA8" s="7">
        <v>0.0</v>
      </c>
      <c r="AB8" s="7">
        <v>0.0</v>
      </c>
      <c r="AC8" s="7">
        <v>0.1095890410958904</v>
      </c>
      <c r="AD8" s="7">
        <v>0.0</v>
      </c>
      <c r="AE8" s="7">
        <v>0.0</v>
      </c>
      <c r="AF8" s="7">
        <v>0.12987012987012986</v>
      </c>
      <c r="AG8" s="7">
        <v>0.0</v>
      </c>
      <c r="AH8" s="7">
        <v>0.0</v>
      </c>
      <c r="AI8" s="7">
        <v>0.08139534883720931</v>
      </c>
      <c r="AJ8" s="7">
        <v>0.0</v>
      </c>
      <c r="AK8" s="7">
        <v>0.0</v>
      </c>
      <c r="AM8" s="6" t="s">
        <v>70</v>
      </c>
      <c r="AN8" s="8">
        <v>180.0</v>
      </c>
    </row>
    <row r="9">
      <c r="A9" s="4" t="s">
        <v>43</v>
      </c>
      <c r="B9" s="7">
        <v>0.1411764705882353</v>
      </c>
      <c r="C9" s="7">
        <v>0.14634146341463414</v>
      </c>
      <c r="D9" s="7">
        <v>0.14634146341463414</v>
      </c>
      <c r="E9" s="7">
        <v>0.1411764705882353</v>
      </c>
      <c r="F9" s="7">
        <v>0.14634146341463414</v>
      </c>
      <c r="G9" s="7">
        <v>0.14634146341463414</v>
      </c>
      <c r="H9" s="7">
        <v>0.13580246913580246</v>
      </c>
      <c r="I9" s="7">
        <v>0.14285714285714285</v>
      </c>
      <c r="J9" s="7">
        <v>0.14285714285714285</v>
      </c>
      <c r="K9" s="7">
        <v>0.16666666666666666</v>
      </c>
      <c r="L9" s="7">
        <v>0.2</v>
      </c>
      <c r="M9" s="7">
        <v>0.17857142857142858</v>
      </c>
      <c r="N9" s="7">
        <v>0.14285714285714285</v>
      </c>
      <c r="O9" s="7">
        <v>0.17647058823529413</v>
      </c>
      <c r="P9" s="7">
        <v>0.14285714285714285</v>
      </c>
      <c r="Q9" s="7">
        <v>0.16393442622950818</v>
      </c>
      <c r="R9" s="7">
        <v>0.1836734693877551</v>
      </c>
      <c r="S9" s="7">
        <v>0.16</v>
      </c>
      <c r="T9" s="7">
        <v>0.140625</v>
      </c>
      <c r="U9" s="7">
        <v>0.16363636363636364</v>
      </c>
      <c r="V9" s="7">
        <v>0.14285714285714285</v>
      </c>
      <c r="W9" s="7">
        <v>0.13432835820895522</v>
      </c>
      <c r="X9" s="7">
        <v>0.14754098360655737</v>
      </c>
      <c r="Y9" s="7">
        <v>0.12903225806451613</v>
      </c>
      <c r="Z9" s="7">
        <v>0.06896551724137931</v>
      </c>
      <c r="AA9" s="7">
        <v>0.08163265306122448</v>
      </c>
      <c r="AB9" s="7">
        <v>0.08163265306122448</v>
      </c>
      <c r="AC9" s="7">
        <v>0.1232876712328767</v>
      </c>
      <c r="AD9" s="7">
        <v>0.1323529411764706</v>
      </c>
      <c r="AE9" s="7">
        <v>0.11764705882352941</v>
      </c>
      <c r="AF9" s="7">
        <v>0.14285714285714285</v>
      </c>
      <c r="AG9" s="7">
        <v>0.16216216216216217</v>
      </c>
      <c r="AH9" s="7">
        <v>0.16216216216216217</v>
      </c>
      <c r="AI9" s="7">
        <v>0.12790697674418605</v>
      </c>
      <c r="AJ9" s="7">
        <v>0.1411764705882353</v>
      </c>
      <c r="AK9" s="7">
        <v>0.1411764705882353</v>
      </c>
      <c r="AM9" s="6" t="s">
        <v>43</v>
      </c>
      <c r="AN9" s="8">
        <v>160.0</v>
      </c>
    </row>
    <row r="10">
      <c r="A10" s="4" t="s">
        <v>44</v>
      </c>
      <c r="B10" s="7">
        <v>0.0</v>
      </c>
      <c r="C10" s="7">
        <v>0.0975609756097561</v>
      </c>
      <c r="D10" s="7">
        <v>0.0975609756097561</v>
      </c>
      <c r="E10" s="7">
        <v>0.0</v>
      </c>
      <c r="F10" s="7">
        <v>0.0975609756097561</v>
      </c>
      <c r="G10" s="7">
        <v>0.0975609756097561</v>
      </c>
      <c r="H10" s="7">
        <v>0.0</v>
      </c>
      <c r="I10" s="7">
        <v>0.12857142857142856</v>
      </c>
      <c r="J10" s="7">
        <v>0.12857142857142856</v>
      </c>
      <c r="K10" s="7">
        <v>0.0</v>
      </c>
      <c r="L10" s="7">
        <v>0.18181818181818182</v>
      </c>
      <c r="M10" s="7">
        <v>0.17857142857142858</v>
      </c>
      <c r="N10" s="7">
        <v>0.0</v>
      </c>
      <c r="O10" s="7">
        <v>0.17647058823529413</v>
      </c>
      <c r="P10" s="7">
        <v>0.16326530612244897</v>
      </c>
      <c r="Q10" s="7">
        <v>0.0</v>
      </c>
      <c r="R10" s="7">
        <v>0.14285714285714285</v>
      </c>
      <c r="S10" s="7">
        <v>0.14</v>
      </c>
      <c r="T10" s="7">
        <v>0.0</v>
      </c>
      <c r="U10" s="7">
        <v>0.12727272727272726</v>
      </c>
      <c r="V10" s="7">
        <v>0.125</v>
      </c>
      <c r="W10" s="7">
        <v>0.0</v>
      </c>
      <c r="X10" s="7">
        <v>0.13114754098360656</v>
      </c>
      <c r="Y10" s="7">
        <v>0.12903225806451613</v>
      </c>
      <c r="Z10" s="7">
        <v>0.0</v>
      </c>
      <c r="AA10" s="7">
        <v>0.061224489795918366</v>
      </c>
      <c r="AB10" s="7">
        <v>0.061224489795918366</v>
      </c>
      <c r="AC10" s="7">
        <v>0.0</v>
      </c>
      <c r="AD10" s="7">
        <v>0.11764705882352941</v>
      </c>
      <c r="AE10" s="7">
        <v>0.11764705882352941</v>
      </c>
      <c r="AF10" s="7">
        <v>0.0</v>
      </c>
      <c r="AG10" s="7">
        <v>0.13513513513513514</v>
      </c>
      <c r="AH10" s="7">
        <v>0.13513513513513514</v>
      </c>
      <c r="AI10" s="7">
        <v>0.0</v>
      </c>
      <c r="AJ10" s="7">
        <v>0.10588235294117647</v>
      </c>
      <c r="AK10" s="7">
        <v>0.10588235294117647</v>
      </c>
      <c r="AM10" s="6" t="s">
        <v>71</v>
      </c>
      <c r="AN10" s="8">
        <v>240.0</v>
      </c>
    </row>
    <row r="11">
      <c r="A11" s="4" t="s">
        <v>45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0.01639344262295082</v>
      </c>
      <c r="R11" s="7">
        <v>0.04081632653061224</v>
      </c>
      <c r="S11" s="7">
        <v>0.0</v>
      </c>
      <c r="T11" s="7">
        <v>0.015625</v>
      </c>
      <c r="U11" s="7">
        <v>0.03636363636363636</v>
      </c>
      <c r="V11" s="7">
        <v>0.0</v>
      </c>
      <c r="W11" s="7">
        <v>0.014925373134328358</v>
      </c>
      <c r="X11" s="7">
        <v>0.03278688524590164</v>
      </c>
      <c r="Y11" s="7">
        <v>0.0</v>
      </c>
      <c r="Z11" s="7">
        <v>0.034482758620689655</v>
      </c>
      <c r="AA11" s="7">
        <v>0.04081632653061224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M11" s="6" t="s">
        <v>72</v>
      </c>
      <c r="AN11" s="8">
        <v>15000.0</v>
      </c>
    </row>
    <row r="12">
      <c r="A12" s="4" t="s">
        <v>46</v>
      </c>
      <c r="B12" s="7">
        <v>0.0</v>
      </c>
      <c r="C12" s="7">
        <v>0.04878048780487805</v>
      </c>
      <c r="D12" s="7">
        <v>0.04878048780487805</v>
      </c>
      <c r="E12" s="7">
        <v>0.0</v>
      </c>
      <c r="F12" s="7">
        <v>0.04878048780487805</v>
      </c>
      <c r="G12" s="7">
        <v>0.04878048780487805</v>
      </c>
      <c r="H12" s="7">
        <v>0.0</v>
      </c>
      <c r="I12" s="7">
        <v>0.04285714285714286</v>
      </c>
      <c r="J12" s="7">
        <v>0.04285714285714286</v>
      </c>
      <c r="K12" s="7">
        <v>0.0</v>
      </c>
      <c r="L12" s="7">
        <v>0.05454545454545454</v>
      </c>
      <c r="M12" s="7">
        <v>0.05357142857142857</v>
      </c>
      <c r="N12" s="7">
        <v>0.0</v>
      </c>
      <c r="O12" s="7">
        <v>0.058823529411764705</v>
      </c>
      <c r="P12" s="7">
        <v>0.061224489795918366</v>
      </c>
      <c r="Q12" s="7">
        <v>0.0</v>
      </c>
      <c r="R12" s="7">
        <v>0.061224489795918366</v>
      </c>
      <c r="S12" s="7">
        <v>0.06</v>
      </c>
      <c r="T12" s="7">
        <v>0.0</v>
      </c>
      <c r="U12" s="7">
        <v>0.05454545454545454</v>
      </c>
      <c r="V12" s="7">
        <v>0.05357142857142857</v>
      </c>
      <c r="W12" s="7">
        <v>0.0</v>
      </c>
      <c r="X12" s="7">
        <v>0.04918032786885246</v>
      </c>
      <c r="Y12" s="7">
        <v>0.04838709677419355</v>
      </c>
      <c r="Z12" s="7">
        <v>0.0</v>
      </c>
      <c r="AA12" s="7">
        <v>0.061224489795918366</v>
      </c>
      <c r="AB12" s="7">
        <v>0.04081632653061224</v>
      </c>
      <c r="AC12" s="7">
        <v>0.0</v>
      </c>
      <c r="AD12" s="7">
        <v>0.07352941176470588</v>
      </c>
      <c r="AE12" s="7">
        <v>0.07352941176470588</v>
      </c>
      <c r="AF12" s="7">
        <v>0.0</v>
      </c>
      <c r="AG12" s="7">
        <v>0.04054054054054054</v>
      </c>
      <c r="AH12" s="7">
        <v>0.04054054054054054</v>
      </c>
      <c r="AI12" s="7">
        <v>0.0</v>
      </c>
      <c r="AJ12" s="7">
        <v>0.047058823529411764</v>
      </c>
      <c r="AK12" s="7">
        <v>0.047058823529411764</v>
      </c>
      <c r="AM12" s="6" t="s">
        <v>46</v>
      </c>
      <c r="AN12" s="8">
        <v>400.0</v>
      </c>
    </row>
    <row r="13">
      <c r="A13" s="4" t="s">
        <v>47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0.045454545454545456</v>
      </c>
      <c r="L13" s="7">
        <v>0.0</v>
      </c>
      <c r="M13" s="7">
        <v>0.0</v>
      </c>
      <c r="N13" s="7">
        <v>0.031746031746031744</v>
      </c>
      <c r="O13" s="7">
        <v>0.0</v>
      </c>
      <c r="P13" s="7">
        <v>0.0</v>
      </c>
      <c r="Q13" s="7">
        <v>0.03278688524590164</v>
      </c>
      <c r="R13" s="7">
        <v>0.0</v>
      </c>
      <c r="S13" s="7">
        <v>0.0</v>
      </c>
      <c r="T13" s="7">
        <v>0.03125</v>
      </c>
      <c r="U13" s="7">
        <v>0.0</v>
      </c>
      <c r="V13" s="7">
        <v>0.0</v>
      </c>
      <c r="W13" s="7">
        <v>0.029850746268656716</v>
      </c>
      <c r="X13" s="7">
        <v>0.0</v>
      </c>
      <c r="Y13" s="7">
        <v>0.0</v>
      </c>
      <c r="Z13" s="7">
        <v>0.034482758620689655</v>
      </c>
      <c r="AA13" s="7">
        <v>0.0</v>
      </c>
      <c r="AB13" s="7">
        <v>0.0</v>
      </c>
      <c r="AC13" s="7">
        <v>0.0410958904109589</v>
      </c>
      <c r="AD13" s="7">
        <v>0.0</v>
      </c>
      <c r="AE13" s="7">
        <v>0.0</v>
      </c>
      <c r="AF13" s="7">
        <v>0.03896103896103896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M13" s="6" t="s">
        <v>47</v>
      </c>
      <c r="AN13" s="8">
        <v>1300.0</v>
      </c>
    </row>
    <row r="14">
      <c r="A14" s="4" t="s">
        <v>48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0.1728395061728395</v>
      </c>
      <c r="I14" s="7">
        <v>0.18571428571428572</v>
      </c>
      <c r="J14" s="7">
        <v>0.18571428571428572</v>
      </c>
      <c r="K14" s="7">
        <v>0.24242424242424243</v>
      </c>
      <c r="L14" s="7">
        <v>0.2909090909090909</v>
      </c>
      <c r="M14" s="7">
        <v>0.2857142857142857</v>
      </c>
      <c r="N14" s="7">
        <v>0.19047619047619047</v>
      </c>
      <c r="O14" s="7">
        <v>0.23529411764705882</v>
      </c>
      <c r="P14" s="7">
        <v>0.24489795918367346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M14" s="6" t="s">
        <v>48</v>
      </c>
      <c r="AN14" s="8">
        <v>400.0</v>
      </c>
    </row>
    <row r="15">
      <c r="A15" s="4" t="s">
        <v>49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0.061224489795918366</v>
      </c>
      <c r="AB15" s="7">
        <v>0.061224489795918366</v>
      </c>
      <c r="AC15" s="7">
        <v>0.0</v>
      </c>
      <c r="AD15" s="7">
        <v>0.07352941176470588</v>
      </c>
      <c r="AE15" s="7">
        <v>0.07352941176470588</v>
      </c>
      <c r="AF15" s="7">
        <v>0.0</v>
      </c>
      <c r="AG15" s="7">
        <v>0.06756756756756757</v>
      </c>
      <c r="AH15" s="7">
        <v>0.06756756756756757</v>
      </c>
      <c r="AI15" s="7">
        <v>0.0</v>
      </c>
      <c r="AJ15" s="7">
        <v>0.0</v>
      </c>
      <c r="AK15" s="7">
        <v>0.0</v>
      </c>
      <c r="AM15" s="6" t="s">
        <v>49</v>
      </c>
      <c r="AN15" s="8">
        <v>2000.0</v>
      </c>
    </row>
    <row r="16">
      <c r="A16" s="4" t="s">
        <v>50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0.045454545454545456</v>
      </c>
      <c r="L16" s="7">
        <v>0.0</v>
      </c>
      <c r="M16" s="7">
        <v>0.0</v>
      </c>
      <c r="N16" s="7">
        <v>0.031746031746031744</v>
      </c>
      <c r="O16" s="7">
        <v>0.0</v>
      </c>
      <c r="P16" s="7">
        <v>0.0</v>
      </c>
      <c r="Q16" s="7">
        <v>0.03278688524590164</v>
      </c>
      <c r="R16" s="7">
        <v>0.0</v>
      </c>
      <c r="S16" s="7">
        <v>0.0</v>
      </c>
      <c r="T16" s="7">
        <v>0.03125</v>
      </c>
      <c r="U16" s="7">
        <v>0.0</v>
      </c>
      <c r="V16" s="7">
        <v>0.0</v>
      </c>
      <c r="W16" s="7">
        <v>0.029850746268656716</v>
      </c>
      <c r="X16" s="7">
        <v>0.0</v>
      </c>
      <c r="Y16" s="7">
        <v>0.0</v>
      </c>
      <c r="Z16" s="7">
        <v>0.034482758620689655</v>
      </c>
      <c r="AA16" s="7">
        <v>0.0</v>
      </c>
      <c r="AB16" s="7">
        <v>0.0</v>
      </c>
      <c r="AC16" s="7">
        <v>0.0410958904109589</v>
      </c>
      <c r="AD16" s="7">
        <v>0.0</v>
      </c>
      <c r="AE16" s="7">
        <v>0.0</v>
      </c>
      <c r="AF16" s="7">
        <v>0.03896103896103896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M16" s="6" t="s">
        <v>50</v>
      </c>
      <c r="AN16" s="8">
        <v>500.0</v>
      </c>
    </row>
    <row r="17">
      <c r="A17" s="4" t="s">
        <v>51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0.031746031746031744</v>
      </c>
      <c r="O17" s="7">
        <v>0.0</v>
      </c>
      <c r="P17" s="7">
        <v>0.0</v>
      </c>
      <c r="Q17" s="7">
        <v>0.03278688524590164</v>
      </c>
      <c r="R17" s="7">
        <v>0.0</v>
      </c>
      <c r="S17" s="7">
        <v>0.0</v>
      </c>
      <c r="T17" s="7">
        <v>0.03125</v>
      </c>
      <c r="U17" s="7">
        <v>0.0</v>
      </c>
      <c r="V17" s="7">
        <v>0.0</v>
      </c>
      <c r="W17" s="7">
        <v>0.029850746268656716</v>
      </c>
      <c r="X17" s="7">
        <v>0.0</v>
      </c>
      <c r="Y17" s="7">
        <v>0.0</v>
      </c>
      <c r="Z17" s="7">
        <v>0.034482758620689655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M17" s="6" t="s">
        <v>51</v>
      </c>
      <c r="AN17" s="8">
        <v>1500.0</v>
      </c>
    </row>
    <row r="18">
      <c r="A18" s="4" t="s">
        <v>52</v>
      </c>
      <c r="B18" s="7">
        <v>0.08235294117647059</v>
      </c>
      <c r="C18" s="7">
        <v>0.0</v>
      </c>
      <c r="D18" s="7">
        <v>0.0</v>
      </c>
      <c r="E18" s="7">
        <v>0.08235294117647059</v>
      </c>
      <c r="F18" s="7">
        <v>0.0</v>
      </c>
      <c r="G18" s="7">
        <v>0.0</v>
      </c>
      <c r="H18" s="7">
        <v>0.1111111111111111</v>
      </c>
      <c r="I18" s="7">
        <v>0.0</v>
      </c>
      <c r="J18" s="7">
        <v>0.0</v>
      </c>
      <c r="K18" s="7">
        <v>0.13636363636363635</v>
      </c>
      <c r="L18" s="7">
        <v>0.0</v>
      </c>
      <c r="M18" s="7">
        <v>0.0</v>
      </c>
      <c r="N18" s="7">
        <v>0.12698412698412698</v>
      </c>
      <c r="O18" s="7">
        <v>0.0</v>
      </c>
      <c r="P18" s="7">
        <v>0.0</v>
      </c>
      <c r="Q18" s="7">
        <v>0.13114754098360656</v>
      </c>
      <c r="R18" s="7">
        <v>0.0</v>
      </c>
      <c r="S18" s="7">
        <v>0.0</v>
      </c>
      <c r="T18" s="7">
        <v>0.109375</v>
      </c>
      <c r="U18" s="7">
        <v>0.0</v>
      </c>
      <c r="V18" s="7">
        <v>0.0</v>
      </c>
      <c r="W18" s="7">
        <v>0.1044776119402985</v>
      </c>
      <c r="X18" s="7">
        <v>0.0</v>
      </c>
      <c r="Y18" s="7">
        <v>0.0</v>
      </c>
      <c r="Z18" s="7">
        <v>0.10344827586206896</v>
      </c>
      <c r="AA18" s="7">
        <v>0.0</v>
      </c>
      <c r="AB18" s="7">
        <v>0.0</v>
      </c>
      <c r="AC18" s="7">
        <v>0.1232876712328767</v>
      </c>
      <c r="AD18" s="7">
        <v>0.0</v>
      </c>
      <c r="AE18" s="7">
        <v>0.0</v>
      </c>
      <c r="AF18" s="7">
        <v>0.1038961038961039</v>
      </c>
      <c r="AG18" s="7">
        <v>0.0</v>
      </c>
      <c r="AH18" s="7">
        <v>0.0</v>
      </c>
      <c r="AI18" s="7">
        <v>0.09302325581395349</v>
      </c>
      <c r="AJ18" s="7">
        <v>0.0</v>
      </c>
      <c r="AK18" s="7">
        <v>0.0</v>
      </c>
      <c r="AM18" s="6" t="s">
        <v>52</v>
      </c>
      <c r="AN18" s="8">
        <v>200.0</v>
      </c>
    </row>
    <row r="19">
      <c r="A19" s="4" t="s">
        <v>53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0.017241379310344827</v>
      </c>
      <c r="AA19" s="7">
        <v>0.02040816326530612</v>
      </c>
      <c r="AB19" s="7">
        <v>0.02040816326530612</v>
      </c>
      <c r="AC19" s="7">
        <v>0.0273972602739726</v>
      </c>
      <c r="AD19" s="7">
        <v>0.029411764705882353</v>
      </c>
      <c r="AE19" s="7">
        <v>0.029411764705882353</v>
      </c>
      <c r="AF19" s="7">
        <v>0.012987012987012988</v>
      </c>
      <c r="AG19" s="7">
        <v>0.02702702702702703</v>
      </c>
      <c r="AH19" s="7">
        <v>0.02702702702702703</v>
      </c>
      <c r="AI19" s="7">
        <v>0.011627906976744186</v>
      </c>
      <c r="AJ19" s="7">
        <v>0.011764705882352941</v>
      </c>
      <c r="AK19" s="7">
        <v>0.011764705882352941</v>
      </c>
      <c r="AM19" s="6" t="s">
        <v>53</v>
      </c>
      <c r="AN19" s="8">
        <v>1800.0</v>
      </c>
    </row>
    <row r="20">
      <c r="A20" s="4" t="s">
        <v>54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0.03278688524590164</v>
      </c>
      <c r="R20" s="7">
        <v>0.0</v>
      </c>
      <c r="S20" s="7">
        <v>0.02</v>
      </c>
      <c r="T20" s="7">
        <v>0.03125</v>
      </c>
      <c r="U20" s="7">
        <v>0.0</v>
      </c>
      <c r="V20" s="7">
        <v>0.017857142857142856</v>
      </c>
      <c r="W20" s="7">
        <v>0.029850746268656716</v>
      </c>
      <c r="X20" s="7">
        <v>0.0</v>
      </c>
      <c r="Y20" s="7">
        <v>0.016129032258064516</v>
      </c>
      <c r="Z20" s="7">
        <v>0.05172413793103448</v>
      </c>
      <c r="AA20" s="7">
        <v>0.0</v>
      </c>
      <c r="AB20" s="7">
        <v>0.02040816326530612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M20" s="6" t="s">
        <v>73</v>
      </c>
      <c r="AN20" s="8">
        <v>2500.0</v>
      </c>
    </row>
    <row r="21">
      <c r="A21" s="4" t="s">
        <v>55</v>
      </c>
      <c r="B21" s="7">
        <v>0.21176470588235294</v>
      </c>
      <c r="C21" s="7">
        <v>0.21951219512195122</v>
      </c>
      <c r="D21" s="7">
        <v>0.21951219512195122</v>
      </c>
      <c r="E21" s="7">
        <v>0.21176470588235294</v>
      </c>
      <c r="F21" s="7">
        <v>0.21951219512195122</v>
      </c>
      <c r="G21" s="7">
        <v>0.21951219512195122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0.23255813953488372</v>
      </c>
      <c r="AJ21" s="7">
        <v>0.23529411764705882</v>
      </c>
      <c r="AK21" s="7">
        <v>0.23529411764705882</v>
      </c>
      <c r="AM21" s="6" t="s">
        <v>55</v>
      </c>
      <c r="AN21" s="8">
        <v>400.0</v>
      </c>
    </row>
    <row r="22">
      <c r="A22" s="4" t="s">
        <v>56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0.031746031746031744</v>
      </c>
      <c r="O22" s="7">
        <v>0.0</v>
      </c>
      <c r="P22" s="7">
        <v>0.0</v>
      </c>
      <c r="Q22" s="7">
        <v>0.03278688524590164</v>
      </c>
      <c r="R22" s="7">
        <v>0.0</v>
      </c>
      <c r="S22" s="7">
        <v>0.0</v>
      </c>
      <c r="T22" s="7">
        <v>0.03125</v>
      </c>
      <c r="U22" s="7">
        <v>0.0</v>
      </c>
      <c r="V22" s="7">
        <v>0.0</v>
      </c>
      <c r="W22" s="7">
        <v>0.029850746268656716</v>
      </c>
      <c r="X22" s="7">
        <v>0.0</v>
      </c>
      <c r="Y22" s="7">
        <v>0.0</v>
      </c>
      <c r="Z22" s="7">
        <v>0.034482758620689655</v>
      </c>
      <c r="AA22" s="7">
        <v>0.0</v>
      </c>
      <c r="AB22" s="7">
        <v>0.0</v>
      </c>
      <c r="AC22" s="7">
        <v>0.0410958904109589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M22" s="6" t="s">
        <v>56</v>
      </c>
      <c r="AN22" s="8">
        <v>800.0</v>
      </c>
    </row>
    <row r="23">
      <c r="A23" s="4" t="s">
        <v>57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0.02</v>
      </c>
      <c r="T23" s="7">
        <v>0.0</v>
      </c>
      <c r="U23" s="7">
        <v>0.0</v>
      </c>
      <c r="V23" s="7">
        <v>0.017857142857142856</v>
      </c>
      <c r="W23" s="7">
        <v>0.0</v>
      </c>
      <c r="X23" s="7">
        <v>0.0</v>
      </c>
      <c r="Y23" s="7">
        <v>0.016129032258064516</v>
      </c>
      <c r="Z23" s="7">
        <v>0.0</v>
      </c>
      <c r="AA23" s="7">
        <v>0.0</v>
      </c>
      <c r="AB23" s="7">
        <v>0.02040816326530612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M23" s="6" t="s">
        <v>57</v>
      </c>
      <c r="AN23" s="8">
        <v>4000.0</v>
      </c>
    </row>
    <row r="24">
      <c r="A24" s="4" t="s">
        <v>58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0.03571428571428571</v>
      </c>
      <c r="N24" s="7">
        <v>0.0</v>
      </c>
      <c r="O24" s="7">
        <v>0.0</v>
      </c>
      <c r="P24" s="7">
        <v>0.04081632653061224</v>
      </c>
      <c r="Q24" s="7">
        <v>0.0</v>
      </c>
      <c r="R24" s="7">
        <v>0.0</v>
      </c>
      <c r="S24" s="7">
        <v>0.04</v>
      </c>
      <c r="T24" s="7">
        <v>0.0</v>
      </c>
      <c r="U24" s="7">
        <v>0.0</v>
      </c>
      <c r="V24" s="7">
        <v>0.03571428571428571</v>
      </c>
      <c r="W24" s="7">
        <v>0.0</v>
      </c>
      <c r="X24" s="7">
        <v>0.0</v>
      </c>
      <c r="Y24" s="7">
        <v>0.03225806451612903</v>
      </c>
      <c r="Z24" s="7">
        <v>0.0</v>
      </c>
      <c r="AA24" s="7">
        <v>0.0</v>
      </c>
      <c r="AB24" s="7">
        <v>0.04081632653061224</v>
      </c>
      <c r="AC24" s="7">
        <v>0.0</v>
      </c>
      <c r="AD24" s="7">
        <v>0.0</v>
      </c>
      <c r="AE24" s="7">
        <v>0.04411764705882353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M24" s="6" t="s">
        <v>74</v>
      </c>
      <c r="AN24" s="8">
        <v>5000.0</v>
      </c>
    </row>
    <row r="25">
      <c r="A25" s="4" t="s">
        <v>59</v>
      </c>
      <c r="B25" s="7">
        <v>0.0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0.06557377049180328</v>
      </c>
      <c r="Y25" s="7">
        <v>0.06451612903225806</v>
      </c>
      <c r="Z25" s="7">
        <v>0.0</v>
      </c>
      <c r="AA25" s="7">
        <v>0.08163265306122448</v>
      </c>
      <c r="AB25" s="7">
        <v>0.08163265306122448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M25" s="6" t="s">
        <v>75</v>
      </c>
      <c r="AN25" s="8">
        <v>3750.0</v>
      </c>
    </row>
    <row r="26">
      <c r="A26" s="4" t="s">
        <v>60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0.125</v>
      </c>
      <c r="U26" s="7">
        <v>0.16363636363636364</v>
      </c>
      <c r="V26" s="7">
        <v>0.16071428571428573</v>
      </c>
      <c r="W26" s="7">
        <v>0.14925373134328357</v>
      </c>
      <c r="X26" s="7">
        <v>0.16393442622950818</v>
      </c>
      <c r="Y26" s="7">
        <v>0.14516129032258066</v>
      </c>
      <c r="Z26" s="7">
        <v>0.1206896551724138</v>
      </c>
      <c r="AA26" s="7">
        <v>0.14285714285714285</v>
      </c>
      <c r="AB26" s="7">
        <v>0.10204081632653061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M26" s="6" t="s">
        <v>60</v>
      </c>
      <c r="AN26" s="8">
        <v>900.0</v>
      </c>
    </row>
    <row r="27">
      <c r="A27" s="4" t="s">
        <v>61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0.11475409836065574</v>
      </c>
      <c r="R27" s="7">
        <v>0.14285714285714285</v>
      </c>
      <c r="S27" s="7">
        <v>0.14</v>
      </c>
      <c r="T27" s="7">
        <v>0.109375</v>
      </c>
      <c r="U27" s="7">
        <v>0.12727272727272726</v>
      </c>
      <c r="V27" s="7">
        <v>0.125</v>
      </c>
      <c r="W27" s="7">
        <v>0.1044776119402985</v>
      </c>
      <c r="X27" s="7">
        <v>0.11475409836065574</v>
      </c>
      <c r="Y27" s="7">
        <v>0.11290322580645161</v>
      </c>
      <c r="Z27" s="7">
        <v>0.13793103448275862</v>
      </c>
      <c r="AA27" s="7">
        <v>0.16326530612244897</v>
      </c>
      <c r="AB27" s="7">
        <v>0.16326530612244897</v>
      </c>
      <c r="AC27" s="7">
        <v>0.1232876712328767</v>
      </c>
      <c r="AD27" s="7">
        <v>0.1323529411764706</v>
      </c>
      <c r="AE27" s="7">
        <v>0.11764705882352941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M27" s="6" t="s">
        <v>61</v>
      </c>
      <c r="AN27" s="8">
        <v>800.0</v>
      </c>
    </row>
    <row r="28">
      <c r="A28" s="4" t="s">
        <v>62</v>
      </c>
      <c r="B28" s="7">
        <v>0.09411764705882353</v>
      </c>
      <c r="C28" s="7">
        <v>0.0975609756097561</v>
      </c>
      <c r="D28" s="7">
        <v>0.0975609756097561</v>
      </c>
      <c r="E28" s="7">
        <v>0.09411764705882353</v>
      </c>
      <c r="F28" s="7">
        <v>0.0975609756097561</v>
      </c>
      <c r="G28" s="7">
        <v>0.0975609756097561</v>
      </c>
      <c r="H28" s="7">
        <v>0.08641975308641975</v>
      </c>
      <c r="I28" s="7">
        <v>0.1</v>
      </c>
      <c r="J28" s="7">
        <v>0.1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0.1095890410958904</v>
      </c>
      <c r="AD28" s="7">
        <v>0.11764705882352941</v>
      </c>
      <c r="AE28" s="7">
        <v>0.11764705882352941</v>
      </c>
      <c r="AF28" s="7">
        <v>0.11688311688311688</v>
      </c>
      <c r="AG28" s="7">
        <v>0.13513513513513514</v>
      </c>
      <c r="AH28" s="7">
        <v>0.12162162162162163</v>
      </c>
      <c r="AI28" s="7">
        <v>0.09302325581395349</v>
      </c>
      <c r="AJ28" s="7">
        <v>0.09411764705882353</v>
      </c>
      <c r="AK28" s="7">
        <v>0.09411764705882353</v>
      </c>
      <c r="AM28" s="6" t="s">
        <v>62</v>
      </c>
      <c r="AN28" s="8">
        <v>300.0</v>
      </c>
    </row>
    <row r="29">
      <c r="A29" s="4" t="s">
        <v>63</v>
      </c>
      <c r="B29" s="7">
        <v>0.023529411764705882</v>
      </c>
      <c r="C29" s="7">
        <v>0.024390243902439025</v>
      </c>
      <c r="D29" s="7">
        <v>0.024390243902439025</v>
      </c>
      <c r="E29" s="7">
        <v>0.023529411764705882</v>
      </c>
      <c r="F29" s="7">
        <v>0.024390243902439025</v>
      </c>
      <c r="G29" s="7">
        <v>0.024390243902439025</v>
      </c>
      <c r="H29" s="7">
        <v>0.024691358024691357</v>
      </c>
      <c r="I29" s="7">
        <v>0.02857142857142857</v>
      </c>
      <c r="J29" s="7">
        <v>0.02857142857142857</v>
      </c>
      <c r="K29" s="7">
        <v>0.030303030303030304</v>
      </c>
      <c r="L29" s="7">
        <v>0.03636363636363636</v>
      </c>
      <c r="M29" s="7">
        <v>0.03571428571428571</v>
      </c>
      <c r="N29" s="7">
        <v>0.031746031746031744</v>
      </c>
      <c r="O29" s="7">
        <v>0.0392156862745098</v>
      </c>
      <c r="P29" s="7">
        <v>0.04081632653061224</v>
      </c>
      <c r="Q29" s="7">
        <v>0.03278688524590164</v>
      </c>
      <c r="R29" s="7">
        <v>0.04081632653061224</v>
      </c>
      <c r="S29" s="7">
        <v>0.04</v>
      </c>
      <c r="T29" s="7">
        <v>0.03125</v>
      </c>
      <c r="U29" s="7">
        <v>0.03636363636363636</v>
      </c>
      <c r="V29" s="7">
        <v>0.03571428571428571</v>
      </c>
      <c r="W29" s="7">
        <v>0.029850746268656716</v>
      </c>
      <c r="X29" s="7">
        <v>0.03278688524590164</v>
      </c>
      <c r="Y29" s="7">
        <v>0.03225806451612903</v>
      </c>
      <c r="Z29" s="7">
        <v>0.034482758620689655</v>
      </c>
      <c r="AA29" s="7">
        <v>0.04081632653061224</v>
      </c>
      <c r="AB29" s="7">
        <v>0.04081632653061224</v>
      </c>
      <c r="AC29" s="7">
        <v>0.0273972602739726</v>
      </c>
      <c r="AD29" s="7">
        <v>0.029411764705882353</v>
      </c>
      <c r="AE29" s="7">
        <v>0.029411764705882353</v>
      </c>
      <c r="AF29" s="7">
        <v>0.025974025974025976</v>
      </c>
      <c r="AG29" s="7">
        <v>0.02702702702702703</v>
      </c>
      <c r="AH29" s="7">
        <v>0.02702702702702703</v>
      </c>
      <c r="AI29" s="7">
        <v>0.023255813953488372</v>
      </c>
      <c r="AJ29" s="7">
        <v>0.023529411764705882</v>
      </c>
      <c r="AK29" s="7">
        <v>0.023529411764705882</v>
      </c>
      <c r="AM29" s="4" t="s">
        <v>63</v>
      </c>
      <c r="AN29" s="9">
        <v>10.0</v>
      </c>
    </row>
    <row r="30">
      <c r="A30" s="4" t="s">
        <v>64</v>
      </c>
      <c r="B30" s="7">
        <v>0.011764705882352941</v>
      </c>
      <c r="C30" s="7">
        <v>0.012195121951219513</v>
      </c>
      <c r="D30" s="7">
        <v>0.012195121951219513</v>
      </c>
      <c r="E30" s="7">
        <v>0.011764705882352941</v>
      </c>
      <c r="F30" s="7">
        <v>0.012195121951219513</v>
      </c>
      <c r="G30" s="7">
        <v>0.012195121951219513</v>
      </c>
      <c r="H30" s="7">
        <v>0.012345679012345678</v>
      </c>
      <c r="I30" s="7">
        <v>0.014285714285714285</v>
      </c>
      <c r="J30" s="7">
        <v>0.014285714285714285</v>
      </c>
      <c r="K30" s="7">
        <v>0.015151515151515152</v>
      </c>
      <c r="L30" s="7">
        <v>0.01818181818181818</v>
      </c>
      <c r="M30" s="7">
        <v>0.017857142857142856</v>
      </c>
      <c r="N30" s="7">
        <v>0.015873015873015872</v>
      </c>
      <c r="O30" s="7">
        <v>0.0196078431372549</v>
      </c>
      <c r="P30" s="7">
        <v>0.02040816326530612</v>
      </c>
      <c r="Q30" s="7">
        <v>0.01639344262295082</v>
      </c>
      <c r="R30" s="7">
        <v>0.02040816326530612</v>
      </c>
      <c r="S30" s="7">
        <v>0.02</v>
      </c>
      <c r="T30" s="7">
        <v>0.015625</v>
      </c>
      <c r="U30" s="7">
        <v>0.01818181818181818</v>
      </c>
      <c r="V30" s="7">
        <v>0.017857142857142856</v>
      </c>
      <c r="W30" s="7">
        <v>0.014925373134328358</v>
      </c>
      <c r="X30" s="7">
        <v>0.01639344262295082</v>
      </c>
      <c r="Y30" s="7">
        <v>0.016129032258064516</v>
      </c>
      <c r="Z30" s="7">
        <v>0.017241379310344827</v>
      </c>
      <c r="AA30" s="7">
        <v>0.02040816326530612</v>
      </c>
      <c r="AB30" s="7">
        <v>0.02040816326530612</v>
      </c>
      <c r="AC30" s="7">
        <v>0.0136986301369863</v>
      </c>
      <c r="AD30" s="7">
        <v>0.014705882352941176</v>
      </c>
      <c r="AE30" s="7">
        <v>0.014705882352941176</v>
      </c>
      <c r="AF30" s="7">
        <v>0.012987012987012988</v>
      </c>
      <c r="AG30" s="7">
        <v>0.013513513513513514</v>
      </c>
      <c r="AH30" s="7">
        <v>0.013513513513513514</v>
      </c>
      <c r="AI30" s="7">
        <v>0.011627906976744186</v>
      </c>
      <c r="AJ30" s="7">
        <v>0.011764705882352941</v>
      </c>
      <c r="AK30" s="7">
        <v>0.011764705882352941</v>
      </c>
      <c r="AM30" s="4" t="s">
        <v>64</v>
      </c>
      <c r="AN30" s="9">
        <v>10.0</v>
      </c>
    </row>
    <row r="31">
      <c r="A31" s="4" t="s">
        <v>65</v>
      </c>
      <c r="B31" s="7">
        <v>0.011764705882352941</v>
      </c>
      <c r="C31" s="7">
        <v>0.012195121951219513</v>
      </c>
      <c r="D31" s="7">
        <v>0.012195121951219513</v>
      </c>
      <c r="E31" s="7">
        <v>0.011764705882352941</v>
      </c>
      <c r="F31" s="7">
        <v>0.012195121951219513</v>
      </c>
      <c r="G31" s="7">
        <v>0.012195121951219513</v>
      </c>
      <c r="H31" s="7">
        <v>0.012345679012345678</v>
      </c>
      <c r="I31" s="7">
        <v>0.014285714285714285</v>
      </c>
      <c r="J31" s="7">
        <v>0.014285714285714285</v>
      </c>
      <c r="K31" s="7">
        <v>0.015151515151515152</v>
      </c>
      <c r="L31" s="7">
        <v>0.01818181818181818</v>
      </c>
      <c r="M31" s="7">
        <v>0.017857142857142856</v>
      </c>
      <c r="N31" s="7">
        <v>0.015873015873015872</v>
      </c>
      <c r="O31" s="7">
        <v>0.0196078431372549</v>
      </c>
      <c r="P31" s="7">
        <v>0.02040816326530612</v>
      </c>
      <c r="Q31" s="7">
        <v>0.01639344262295082</v>
      </c>
      <c r="R31" s="7">
        <v>0.02040816326530612</v>
      </c>
      <c r="S31" s="7">
        <v>0.02</v>
      </c>
      <c r="T31" s="7">
        <v>0.015625</v>
      </c>
      <c r="U31" s="7">
        <v>0.01818181818181818</v>
      </c>
      <c r="V31" s="7">
        <v>0.017857142857142856</v>
      </c>
      <c r="W31" s="7">
        <v>0.014925373134328358</v>
      </c>
      <c r="X31" s="7">
        <v>0.01639344262295082</v>
      </c>
      <c r="Y31" s="7">
        <v>0.016129032258064516</v>
      </c>
      <c r="Z31" s="7">
        <v>0.017241379310344827</v>
      </c>
      <c r="AA31" s="7">
        <v>0.02040816326530612</v>
      </c>
      <c r="AB31" s="7">
        <v>0.02040816326530612</v>
      </c>
      <c r="AC31" s="7">
        <v>0.0136986301369863</v>
      </c>
      <c r="AD31" s="7">
        <v>0.014705882352941176</v>
      </c>
      <c r="AE31" s="7">
        <v>0.014705882352941176</v>
      </c>
      <c r="AF31" s="7">
        <v>0.012987012987012988</v>
      </c>
      <c r="AG31" s="7">
        <v>0.013513513513513514</v>
      </c>
      <c r="AH31" s="7">
        <v>0.013513513513513514</v>
      </c>
      <c r="AI31" s="7">
        <v>0.011627906976744186</v>
      </c>
      <c r="AJ31" s="7">
        <v>0.011764705882352941</v>
      </c>
      <c r="AK31" s="7">
        <v>0.011764705882352941</v>
      </c>
      <c r="AM31" s="4" t="s">
        <v>65</v>
      </c>
      <c r="AN31" s="9">
        <v>10.0</v>
      </c>
    </row>
    <row r="32">
      <c r="A32" s="4" t="s">
        <v>66</v>
      </c>
      <c r="B32" s="7">
        <v>0.023529411764705882</v>
      </c>
      <c r="C32" s="7">
        <v>0.024390243902439025</v>
      </c>
      <c r="D32" s="7">
        <v>0.024390243902439025</v>
      </c>
      <c r="E32" s="7">
        <v>0.023529411764705882</v>
      </c>
      <c r="F32" s="7">
        <v>0.024390243902439025</v>
      </c>
      <c r="G32" s="7">
        <v>0.024390243902439025</v>
      </c>
      <c r="H32" s="7">
        <v>0.024691358024691357</v>
      </c>
      <c r="I32" s="7">
        <v>0.02857142857142857</v>
      </c>
      <c r="J32" s="7">
        <v>0.02857142857142857</v>
      </c>
      <c r="K32" s="7">
        <v>0.030303030303030304</v>
      </c>
      <c r="L32" s="7">
        <v>0.03636363636363636</v>
      </c>
      <c r="M32" s="7">
        <v>0.03571428571428571</v>
      </c>
      <c r="N32" s="7">
        <v>0.031746031746031744</v>
      </c>
      <c r="O32" s="7">
        <v>0.0392156862745098</v>
      </c>
      <c r="P32" s="7">
        <v>0.04081632653061224</v>
      </c>
      <c r="Q32" s="7">
        <v>0.03278688524590164</v>
      </c>
      <c r="R32" s="7">
        <v>0.04081632653061224</v>
      </c>
      <c r="S32" s="7">
        <v>0.04</v>
      </c>
      <c r="T32" s="7">
        <v>0.03125</v>
      </c>
      <c r="U32" s="7">
        <v>0.03636363636363636</v>
      </c>
      <c r="V32" s="7">
        <v>0.03571428571428571</v>
      </c>
      <c r="W32" s="7">
        <v>0.029850746268656716</v>
      </c>
      <c r="X32" s="7">
        <v>0.03278688524590164</v>
      </c>
      <c r="Y32" s="7">
        <v>0.03225806451612903</v>
      </c>
      <c r="Z32" s="7">
        <v>0.034482758620689655</v>
      </c>
      <c r="AA32" s="7">
        <v>0.04081632653061224</v>
      </c>
      <c r="AB32" s="7">
        <v>0.04081632653061224</v>
      </c>
      <c r="AC32" s="7">
        <v>0.0273972602739726</v>
      </c>
      <c r="AD32" s="7">
        <v>0.029411764705882353</v>
      </c>
      <c r="AE32" s="7">
        <v>0.029411764705882353</v>
      </c>
      <c r="AF32" s="7">
        <v>0.025974025974025976</v>
      </c>
      <c r="AG32" s="7">
        <v>0.02702702702702703</v>
      </c>
      <c r="AH32" s="7">
        <v>0.02702702702702703</v>
      </c>
      <c r="AI32" s="7">
        <v>0.023255813953488372</v>
      </c>
      <c r="AJ32" s="7">
        <v>0.023529411764705882</v>
      </c>
      <c r="AK32" s="7">
        <v>0.023529411764705882</v>
      </c>
      <c r="AM32" s="4" t="s">
        <v>66</v>
      </c>
      <c r="AN32" s="9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36</v>
      </c>
      <c r="B2" s="7">
        <f t="array" ref="B2:AK32">N('River (Adjusted)'!B2:AK32) * N('River (Adjusted)'!AN2:AN32)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176.47058823529412</v>
      </c>
      <c r="P2" s="7">
        <v>183.6734693877551</v>
      </c>
      <c r="Q2" s="7">
        <v>0.0</v>
      </c>
      <c r="R2" s="7">
        <v>183.6734693877551</v>
      </c>
      <c r="S2" s="7">
        <v>180.0</v>
      </c>
      <c r="T2" s="7">
        <v>0.0</v>
      </c>
      <c r="U2" s="7">
        <v>109.09090909090908</v>
      </c>
      <c r="V2" s="7">
        <v>107.14285714285714</v>
      </c>
      <c r="W2" s="7">
        <v>0.0</v>
      </c>
      <c r="X2" s="7">
        <v>98.36065573770492</v>
      </c>
      <c r="Y2" s="7">
        <v>96.77419354838709</v>
      </c>
      <c r="Z2" s="7">
        <v>0.0</v>
      </c>
      <c r="AA2" s="7">
        <v>122.44897959183672</v>
      </c>
      <c r="AB2" s="7">
        <v>122.44897959183672</v>
      </c>
      <c r="AC2" s="7">
        <v>0.0</v>
      </c>
      <c r="AD2" s="7">
        <v>220.58823529411765</v>
      </c>
      <c r="AE2" s="7">
        <v>220.58823529411765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</row>
    <row r="3">
      <c r="A3" s="4" t="s">
        <v>37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204.0816326530612</v>
      </c>
      <c r="S3" s="7">
        <v>200.0</v>
      </c>
      <c r="T3" s="7">
        <v>0.0</v>
      </c>
      <c r="U3" s="7">
        <v>181.8181818181818</v>
      </c>
      <c r="V3" s="7">
        <v>178.57142857142856</v>
      </c>
      <c r="W3" s="7">
        <v>0.0</v>
      </c>
      <c r="X3" s="7">
        <v>163.9344262295082</v>
      </c>
      <c r="Y3" s="7">
        <v>161.29032258064515</v>
      </c>
      <c r="Z3" s="7">
        <v>0.0</v>
      </c>
      <c r="AA3" s="7">
        <v>204.0816326530612</v>
      </c>
      <c r="AB3" s="7">
        <v>204.0816326530612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38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204.0816326530612</v>
      </c>
      <c r="S4" s="7">
        <v>400.0</v>
      </c>
      <c r="T4" s="7">
        <v>0.0</v>
      </c>
      <c r="U4" s="7">
        <v>181.8181818181818</v>
      </c>
      <c r="V4" s="7">
        <v>357.1428571428571</v>
      </c>
      <c r="W4" s="7">
        <v>0.0</v>
      </c>
      <c r="X4" s="7">
        <v>163.9344262295082</v>
      </c>
      <c r="Y4" s="7">
        <v>322.5806451612903</v>
      </c>
      <c r="Z4" s="7">
        <v>0.0</v>
      </c>
      <c r="AA4" s="7">
        <v>204.0816326530612</v>
      </c>
      <c r="AB4" s="7">
        <v>408.1632653061224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39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79.36507936507937</v>
      </c>
      <c r="O5" s="7">
        <v>0.0</v>
      </c>
      <c r="P5" s="7">
        <v>0.0</v>
      </c>
      <c r="Q5" s="7">
        <v>40.98360655737705</v>
      </c>
      <c r="R5" s="7">
        <v>0.0</v>
      </c>
      <c r="S5" s="7">
        <v>0.0</v>
      </c>
      <c r="T5" s="7">
        <v>39.0625</v>
      </c>
      <c r="U5" s="7">
        <v>0.0</v>
      </c>
      <c r="V5" s="7">
        <v>0.0</v>
      </c>
      <c r="W5" s="7">
        <v>37.3134328358209</v>
      </c>
      <c r="X5" s="7">
        <v>0.0</v>
      </c>
      <c r="Y5" s="7">
        <v>0.0</v>
      </c>
      <c r="Z5" s="7">
        <v>86.20689655172414</v>
      </c>
      <c r="AA5" s="7">
        <v>0.0</v>
      </c>
      <c r="AB5" s="7">
        <v>0.0</v>
      </c>
      <c r="AC5" s="7">
        <v>136.986301369863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</row>
    <row r="6">
      <c r="A6" s="4" t="s">
        <v>40</v>
      </c>
      <c r="B6" s="7">
        <v>158.82352941176472</v>
      </c>
      <c r="C6" s="7">
        <v>164.6341463414634</v>
      </c>
      <c r="D6" s="7">
        <v>164.6341463414634</v>
      </c>
      <c r="E6" s="7">
        <v>158.82352941176472</v>
      </c>
      <c r="F6" s="7">
        <v>164.6341463414634</v>
      </c>
      <c r="G6" s="7">
        <v>164.6341463414634</v>
      </c>
      <c r="H6" s="7">
        <v>155.55555555555554</v>
      </c>
      <c r="I6" s="7">
        <v>154.28571428571428</v>
      </c>
      <c r="J6" s="7">
        <v>154.28571428571428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198.7012987012987</v>
      </c>
      <c r="AG6" s="7">
        <v>194.5945945945946</v>
      </c>
      <c r="AH6" s="7">
        <v>194.5945945945946</v>
      </c>
      <c r="AI6" s="7">
        <v>136.04651162790697</v>
      </c>
      <c r="AJ6" s="7">
        <v>137.64705882352942</v>
      </c>
      <c r="AK6" s="7">
        <v>137.64705882352942</v>
      </c>
    </row>
    <row r="7">
      <c r="A7" s="4" t="s">
        <v>41</v>
      </c>
      <c r="B7" s="7">
        <v>51.76470588235295</v>
      </c>
      <c r="C7" s="7">
        <v>53.65853658536586</v>
      </c>
      <c r="D7" s="7">
        <v>53.65853658536586</v>
      </c>
      <c r="E7" s="7">
        <v>51.76470588235295</v>
      </c>
      <c r="F7" s="7">
        <v>53.65853658536586</v>
      </c>
      <c r="G7" s="7">
        <v>53.65853658536586</v>
      </c>
      <c r="H7" s="7">
        <v>54.32098765432099</v>
      </c>
      <c r="I7" s="7">
        <v>57.14285714285714</v>
      </c>
      <c r="J7" s="7">
        <v>57.14285714285714</v>
      </c>
      <c r="K7" s="7">
        <v>54.54545454545454</v>
      </c>
      <c r="L7" s="7">
        <v>65.45454545454545</v>
      </c>
      <c r="M7" s="7">
        <v>64.28571428571429</v>
      </c>
      <c r="N7" s="7">
        <v>63.49206349206349</v>
      </c>
      <c r="O7" s="7">
        <v>70.58823529411765</v>
      </c>
      <c r="P7" s="7">
        <v>65.3061224489796</v>
      </c>
      <c r="Q7" s="7">
        <v>65.57377049180327</v>
      </c>
      <c r="R7" s="7">
        <v>81.63265306122449</v>
      </c>
      <c r="S7" s="7">
        <v>72.0</v>
      </c>
      <c r="T7" s="7">
        <v>50.0</v>
      </c>
      <c r="U7" s="7">
        <v>58.18181818181818</v>
      </c>
      <c r="V7" s="7">
        <v>50.0</v>
      </c>
      <c r="W7" s="7">
        <v>53.73134328358209</v>
      </c>
      <c r="X7" s="7">
        <v>52.459016393442624</v>
      </c>
      <c r="Y7" s="7">
        <v>51.61290322580645</v>
      </c>
      <c r="Z7" s="7">
        <v>34.48275862068966</v>
      </c>
      <c r="AA7" s="7">
        <v>32.6530612244898</v>
      </c>
      <c r="AB7" s="7">
        <v>32.6530612244898</v>
      </c>
      <c r="AC7" s="7">
        <v>49.31506849315068</v>
      </c>
      <c r="AD7" s="7">
        <v>64.70588235294117</v>
      </c>
      <c r="AE7" s="7">
        <v>58.82352941176471</v>
      </c>
      <c r="AF7" s="7">
        <v>46.75324675324675</v>
      </c>
      <c r="AG7" s="7">
        <v>54.054054054054056</v>
      </c>
      <c r="AH7" s="7">
        <v>59.45945945945946</v>
      </c>
      <c r="AI7" s="7">
        <v>55.81395348837209</v>
      </c>
      <c r="AJ7" s="7">
        <v>56.470588235294116</v>
      </c>
      <c r="AK7" s="7">
        <v>56.470588235294116</v>
      </c>
    </row>
    <row r="8">
      <c r="A8" s="4" t="s">
        <v>42</v>
      </c>
      <c r="B8" s="7">
        <v>16.941176470588236</v>
      </c>
      <c r="C8" s="7">
        <v>0.0</v>
      </c>
      <c r="D8" s="7">
        <v>0.0</v>
      </c>
      <c r="E8" s="7">
        <v>16.941176470588236</v>
      </c>
      <c r="F8" s="7">
        <v>0.0</v>
      </c>
      <c r="G8" s="7">
        <v>0.0</v>
      </c>
      <c r="H8" s="7">
        <v>20.0</v>
      </c>
      <c r="I8" s="7">
        <v>0.0</v>
      </c>
      <c r="J8" s="7">
        <v>0.0</v>
      </c>
      <c r="K8" s="7">
        <v>24.545454545454543</v>
      </c>
      <c r="L8" s="7">
        <v>0.0</v>
      </c>
      <c r="M8" s="7">
        <v>0.0</v>
      </c>
      <c r="N8" s="7">
        <v>22.857142857142854</v>
      </c>
      <c r="O8" s="7">
        <v>0.0</v>
      </c>
      <c r="P8" s="7">
        <v>0.0</v>
      </c>
      <c r="Q8" s="7">
        <v>23.60655737704918</v>
      </c>
      <c r="R8" s="7">
        <v>0.0</v>
      </c>
      <c r="S8" s="7">
        <v>0.0</v>
      </c>
      <c r="T8" s="7">
        <v>19.6875</v>
      </c>
      <c r="U8" s="7">
        <v>0.0</v>
      </c>
      <c r="V8" s="7">
        <v>0.0</v>
      </c>
      <c r="W8" s="7">
        <v>18.80597014925373</v>
      </c>
      <c r="X8" s="7">
        <v>0.0</v>
      </c>
      <c r="Y8" s="7">
        <v>0.0</v>
      </c>
      <c r="Z8" s="7">
        <v>18.620689655172413</v>
      </c>
      <c r="AA8" s="7">
        <v>0.0</v>
      </c>
      <c r="AB8" s="7">
        <v>0.0</v>
      </c>
      <c r="AC8" s="7">
        <v>19.726027397260275</v>
      </c>
      <c r="AD8" s="7">
        <v>0.0</v>
      </c>
      <c r="AE8" s="7">
        <v>0.0</v>
      </c>
      <c r="AF8" s="7">
        <v>23.376623376623375</v>
      </c>
      <c r="AG8" s="7">
        <v>0.0</v>
      </c>
      <c r="AH8" s="7">
        <v>0.0</v>
      </c>
      <c r="AI8" s="7">
        <v>14.651162790697676</v>
      </c>
      <c r="AJ8" s="7">
        <v>0.0</v>
      </c>
      <c r="AK8" s="7">
        <v>0.0</v>
      </c>
    </row>
    <row r="9">
      <c r="A9" s="4" t="s">
        <v>43</v>
      </c>
      <c r="B9" s="7">
        <v>22.588235294117645</v>
      </c>
      <c r="C9" s="7">
        <v>23.414634146341463</v>
      </c>
      <c r="D9" s="7">
        <v>23.414634146341463</v>
      </c>
      <c r="E9" s="7">
        <v>22.588235294117645</v>
      </c>
      <c r="F9" s="7">
        <v>23.414634146341463</v>
      </c>
      <c r="G9" s="7">
        <v>23.414634146341463</v>
      </c>
      <c r="H9" s="7">
        <v>21.728395061728392</v>
      </c>
      <c r="I9" s="7">
        <v>22.857142857142854</v>
      </c>
      <c r="J9" s="7">
        <v>22.857142857142854</v>
      </c>
      <c r="K9" s="7">
        <v>26.666666666666664</v>
      </c>
      <c r="L9" s="7">
        <v>32.0</v>
      </c>
      <c r="M9" s="7">
        <v>28.571428571428573</v>
      </c>
      <c r="N9" s="7">
        <v>22.857142857142854</v>
      </c>
      <c r="O9" s="7">
        <v>28.23529411764706</v>
      </c>
      <c r="P9" s="7">
        <v>22.857142857142854</v>
      </c>
      <c r="Q9" s="7">
        <v>26.22950819672131</v>
      </c>
      <c r="R9" s="7">
        <v>29.387755102040817</v>
      </c>
      <c r="S9" s="7">
        <v>25.6</v>
      </c>
      <c r="T9" s="7">
        <v>22.5</v>
      </c>
      <c r="U9" s="7">
        <v>26.18181818181818</v>
      </c>
      <c r="V9" s="7">
        <v>22.857142857142854</v>
      </c>
      <c r="W9" s="7">
        <v>21.492537313432834</v>
      </c>
      <c r="X9" s="7">
        <v>23.606557377049178</v>
      </c>
      <c r="Y9" s="7">
        <v>20.64516129032258</v>
      </c>
      <c r="Z9" s="7">
        <v>11.03448275862069</v>
      </c>
      <c r="AA9" s="7">
        <v>13.061224489795917</v>
      </c>
      <c r="AB9" s="7">
        <v>13.061224489795917</v>
      </c>
      <c r="AC9" s="7">
        <v>19.726027397260275</v>
      </c>
      <c r="AD9" s="7">
        <v>21.176470588235293</v>
      </c>
      <c r="AE9" s="7">
        <v>18.823529411764707</v>
      </c>
      <c r="AF9" s="7">
        <v>22.857142857142854</v>
      </c>
      <c r="AG9" s="7">
        <v>25.945945945945947</v>
      </c>
      <c r="AH9" s="7">
        <v>25.945945945945947</v>
      </c>
      <c r="AI9" s="7">
        <v>20.46511627906977</v>
      </c>
      <c r="AJ9" s="7">
        <v>22.588235294117645</v>
      </c>
      <c r="AK9" s="7">
        <v>22.588235294117645</v>
      </c>
    </row>
    <row r="10">
      <c r="A10" s="4" t="s">
        <v>44</v>
      </c>
      <c r="B10" s="7">
        <v>0.0</v>
      </c>
      <c r="C10" s="7">
        <v>23.414634146341463</v>
      </c>
      <c r="D10" s="7">
        <v>23.414634146341463</v>
      </c>
      <c r="E10" s="7">
        <v>0.0</v>
      </c>
      <c r="F10" s="7">
        <v>23.414634146341463</v>
      </c>
      <c r="G10" s="7">
        <v>23.414634146341463</v>
      </c>
      <c r="H10" s="7">
        <v>0.0</v>
      </c>
      <c r="I10" s="7">
        <v>30.857142857142854</v>
      </c>
      <c r="J10" s="7">
        <v>30.857142857142854</v>
      </c>
      <c r="K10" s="7">
        <v>0.0</v>
      </c>
      <c r="L10" s="7">
        <v>43.63636363636364</v>
      </c>
      <c r="M10" s="7">
        <v>42.85714285714286</v>
      </c>
      <c r="N10" s="7">
        <v>0.0</v>
      </c>
      <c r="O10" s="7">
        <v>42.352941176470594</v>
      </c>
      <c r="P10" s="7">
        <v>39.18367346938775</v>
      </c>
      <c r="Q10" s="7">
        <v>0.0</v>
      </c>
      <c r="R10" s="7">
        <v>34.285714285714285</v>
      </c>
      <c r="S10" s="7">
        <v>33.6</v>
      </c>
      <c r="T10" s="7">
        <v>0.0</v>
      </c>
      <c r="U10" s="7">
        <v>30.545454545454543</v>
      </c>
      <c r="V10" s="7">
        <v>30.0</v>
      </c>
      <c r="W10" s="7">
        <v>0.0</v>
      </c>
      <c r="X10" s="7">
        <v>31.475409836065577</v>
      </c>
      <c r="Y10" s="7">
        <v>30.967741935483872</v>
      </c>
      <c r="Z10" s="7">
        <v>0.0</v>
      </c>
      <c r="AA10" s="7">
        <v>14.693877551020408</v>
      </c>
      <c r="AB10" s="7">
        <v>14.693877551020408</v>
      </c>
      <c r="AC10" s="7">
        <v>0.0</v>
      </c>
      <c r="AD10" s="7">
        <v>28.235294117647058</v>
      </c>
      <c r="AE10" s="7">
        <v>28.235294117647058</v>
      </c>
      <c r="AF10" s="7">
        <v>0.0</v>
      </c>
      <c r="AG10" s="7">
        <v>32.432432432432435</v>
      </c>
      <c r="AH10" s="7">
        <v>32.432432432432435</v>
      </c>
      <c r="AI10" s="7">
        <v>0.0</v>
      </c>
      <c r="AJ10" s="7">
        <v>25.41176470588235</v>
      </c>
      <c r="AK10" s="7">
        <v>25.41176470588235</v>
      </c>
    </row>
    <row r="11">
      <c r="A11" s="4" t="s">
        <v>45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245.90163934426232</v>
      </c>
      <c r="R11" s="7">
        <v>612.2448979591836</v>
      </c>
      <c r="S11" s="7">
        <v>0.0</v>
      </c>
      <c r="T11" s="7">
        <v>234.375</v>
      </c>
      <c r="U11" s="7">
        <v>545.4545454545454</v>
      </c>
      <c r="V11" s="7">
        <v>0.0</v>
      </c>
      <c r="W11" s="7">
        <v>223.88059701492537</v>
      </c>
      <c r="X11" s="7">
        <v>491.80327868852464</v>
      </c>
      <c r="Y11" s="7">
        <v>0.0</v>
      </c>
      <c r="Z11" s="7">
        <v>517.2413793103448</v>
      </c>
      <c r="AA11" s="7">
        <v>612.2448979591836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</row>
    <row r="12">
      <c r="A12" s="4" t="s">
        <v>46</v>
      </c>
      <c r="B12" s="7">
        <v>0.0</v>
      </c>
      <c r="C12" s="7">
        <v>19.51219512195122</v>
      </c>
      <c r="D12" s="7">
        <v>19.51219512195122</v>
      </c>
      <c r="E12" s="7">
        <v>0.0</v>
      </c>
      <c r="F12" s="7">
        <v>19.51219512195122</v>
      </c>
      <c r="G12" s="7">
        <v>19.51219512195122</v>
      </c>
      <c r="H12" s="7">
        <v>0.0</v>
      </c>
      <c r="I12" s="7">
        <v>17.142857142857142</v>
      </c>
      <c r="J12" s="7">
        <v>17.142857142857142</v>
      </c>
      <c r="K12" s="7">
        <v>0.0</v>
      </c>
      <c r="L12" s="7">
        <v>21.818181818181817</v>
      </c>
      <c r="M12" s="7">
        <v>21.428571428571427</v>
      </c>
      <c r="N12" s="7">
        <v>0.0</v>
      </c>
      <c r="O12" s="7">
        <v>23.52941176470588</v>
      </c>
      <c r="P12" s="7">
        <v>24.489795918367346</v>
      </c>
      <c r="Q12" s="7">
        <v>0.0</v>
      </c>
      <c r="R12" s="7">
        <v>24.489795918367346</v>
      </c>
      <c r="S12" s="7">
        <v>24.0</v>
      </c>
      <c r="T12" s="7">
        <v>0.0</v>
      </c>
      <c r="U12" s="7">
        <v>21.818181818181817</v>
      </c>
      <c r="V12" s="7">
        <v>21.428571428571427</v>
      </c>
      <c r="W12" s="7">
        <v>0.0</v>
      </c>
      <c r="X12" s="7">
        <v>19.672131147540984</v>
      </c>
      <c r="Y12" s="7">
        <v>19.35483870967742</v>
      </c>
      <c r="Z12" s="7">
        <v>0.0</v>
      </c>
      <c r="AA12" s="7">
        <v>24.489795918367346</v>
      </c>
      <c r="AB12" s="7">
        <v>16.3265306122449</v>
      </c>
      <c r="AC12" s="7">
        <v>0.0</v>
      </c>
      <c r="AD12" s="7">
        <v>29.411764705882355</v>
      </c>
      <c r="AE12" s="7">
        <v>29.411764705882355</v>
      </c>
      <c r="AF12" s="7">
        <v>0.0</v>
      </c>
      <c r="AG12" s="7">
        <v>16.216216216216218</v>
      </c>
      <c r="AH12" s="7">
        <v>16.216216216216218</v>
      </c>
      <c r="AI12" s="7">
        <v>0.0</v>
      </c>
      <c r="AJ12" s="7">
        <v>18.823529411764707</v>
      </c>
      <c r="AK12" s="7">
        <v>18.823529411764707</v>
      </c>
    </row>
    <row r="13">
      <c r="A13" s="4" t="s">
        <v>47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59.09090909090909</v>
      </c>
      <c r="L13" s="7">
        <v>0.0</v>
      </c>
      <c r="M13" s="7">
        <v>0.0</v>
      </c>
      <c r="N13" s="7">
        <v>41.269841269841265</v>
      </c>
      <c r="O13" s="7">
        <v>0.0</v>
      </c>
      <c r="P13" s="7">
        <v>0.0</v>
      </c>
      <c r="Q13" s="7">
        <v>42.622950819672134</v>
      </c>
      <c r="R13" s="7">
        <v>0.0</v>
      </c>
      <c r="S13" s="7">
        <v>0.0</v>
      </c>
      <c r="T13" s="7">
        <v>40.625</v>
      </c>
      <c r="U13" s="7">
        <v>0.0</v>
      </c>
      <c r="V13" s="7">
        <v>0.0</v>
      </c>
      <c r="W13" s="7">
        <v>38.80597014925373</v>
      </c>
      <c r="X13" s="7">
        <v>0.0</v>
      </c>
      <c r="Y13" s="7">
        <v>0.0</v>
      </c>
      <c r="Z13" s="7">
        <v>44.82758620689655</v>
      </c>
      <c r="AA13" s="7">
        <v>0.0</v>
      </c>
      <c r="AB13" s="7">
        <v>0.0</v>
      </c>
      <c r="AC13" s="7">
        <v>53.42465753424657</v>
      </c>
      <c r="AD13" s="7">
        <v>0.0</v>
      </c>
      <c r="AE13" s="7">
        <v>0.0</v>
      </c>
      <c r="AF13" s="7">
        <v>50.64935064935065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</row>
    <row r="14">
      <c r="A14" s="4" t="s">
        <v>48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69.1358024691358</v>
      </c>
      <c r="I14" s="7">
        <v>74.28571428571429</v>
      </c>
      <c r="J14" s="7">
        <v>74.28571428571429</v>
      </c>
      <c r="K14" s="7">
        <v>96.96969696969697</v>
      </c>
      <c r="L14" s="7">
        <v>116.36363636363636</v>
      </c>
      <c r="M14" s="7">
        <v>114.28571428571428</v>
      </c>
      <c r="N14" s="7">
        <v>76.19047619047619</v>
      </c>
      <c r="O14" s="7">
        <v>94.11764705882352</v>
      </c>
      <c r="P14" s="7">
        <v>97.95918367346938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</row>
    <row r="15">
      <c r="A15" s="4" t="s">
        <v>49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122.44897959183673</v>
      </c>
      <c r="AB15" s="7">
        <v>122.44897959183673</v>
      </c>
      <c r="AC15" s="7">
        <v>0.0</v>
      </c>
      <c r="AD15" s="7">
        <v>147.05882352941177</v>
      </c>
      <c r="AE15" s="7">
        <v>147.05882352941177</v>
      </c>
      <c r="AF15" s="7">
        <v>0.0</v>
      </c>
      <c r="AG15" s="7">
        <v>135.13513513513513</v>
      </c>
      <c r="AH15" s="7">
        <v>135.13513513513513</v>
      </c>
      <c r="AI15" s="7">
        <v>0.0</v>
      </c>
      <c r="AJ15" s="7">
        <v>0.0</v>
      </c>
      <c r="AK15" s="7">
        <v>0.0</v>
      </c>
    </row>
    <row r="16">
      <c r="A16" s="4" t="s">
        <v>50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22.727272727272727</v>
      </c>
      <c r="L16" s="7">
        <v>0.0</v>
      </c>
      <c r="M16" s="7">
        <v>0.0</v>
      </c>
      <c r="N16" s="7">
        <v>15.873015873015872</v>
      </c>
      <c r="O16" s="7">
        <v>0.0</v>
      </c>
      <c r="P16" s="7">
        <v>0.0</v>
      </c>
      <c r="Q16" s="7">
        <v>16.393442622950822</v>
      </c>
      <c r="R16" s="7">
        <v>0.0</v>
      </c>
      <c r="S16" s="7">
        <v>0.0</v>
      </c>
      <c r="T16" s="7">
        <v>15.625</v>
      </c>
      <c r="U16" s="7">
        <v>0.0</v>
      </c>
      <c r="V16" s="7">
        <v>0.0</v>
      </c>
      <c r="W16" s="7">
        <v>14.925373134328359</v>
      </c>
      <c r="X16" s="7">
        <v>0.0</v>
      </c>
      <c r="Y16" s="7">
        <v>0.0</v>
      </c>
      <c r="Z16" s="7">
        <v>17.241379310344826</v>
      </c>
      <c r="AA16" s="7">
        <v>0.0</v>
      </c>
      <c r="AB16" s="7">
        <v>0.0</v>
      </c>
      <c r="AC16" s="7">
        <v>20.54794520547945</v>
      </c>
      <c r="AD16" s="7">
        <v>0.0</v>
      </c>
      <c r="AE16" s="7">
        <v>0.0</v>
      </c>
      <c r="AF16" s="7">
        <v>19.48051948051948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</row>
    <row r="17">
      <c r="A17" s="4" t="s">
        <v>51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47.61904761904761</v>
      </c>
      <c r="O17" s="7">
        <v>0.0</v>
      </c>
      <c r="P17" s="7">
        <v>0.0</v>
      </c>
      <c r="Q17" s="7">
        <v>49.18032786885246</v>
      </c>
      <c r="R17" s="7">
        <v>0.0</v>
      </c>
      <c r="S17" s="7">
        <v>0.0</v>
      </c>
      <c r="T17" s="7">
        <v>46.875</v>
      </c>
      <c r="U17" s="7">
        <v>0.0</v>
      </c>
      <c r="V17" s="7">
        <v>0.0</v>
      </c>
      <c r="W17" s="7">
        <v>44.776119402985074</v>
      </c>
      <c r="X17" s="7">
        <v>0.0</v>
      </c>
      <c r="Y17" s="7">
        <v>0.0</v>
      </c>
      <c r="Z17" s="7">
        <v>51.724137931034484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</row>
    <row r="18">
      <c r="A18" s="4" t="s">
        <v>52</v>
      </c>
      <c r="B18" s="7">
        <v>16.470588235294116</v>
      </c>
      <c r="C18" s="7">
        <v>0.0</v>
      </c>
      <c r="D18" s="7">
        <v>0.0</v>
      </c>
      <c r="E18" s="7">
        <v>16.470588235294116</v>
      </c>
      <c r="F18" s="7">
        <v>0.0</v>
      </c>
      <c r="G18" s="7">
        <v>0.0</v>
      </c>
      <c r="H18" s="7">
        <v>22.22222222222222</v>
      </c>
      <c r="I18" s="7">
        <v>0.0</v>
      </c>
      <c r="J18" s="7">
        <v>0.0</v>
      </c>
      <c r="K18" s="7">
        <v>27.27272727272727</v>
      </c>
      <c r="L18" s="7">
        <v>0.0</v>
      </c>
      <c r="M18" s="7">
        <v>0.0</v>
      </c>
      <c r="N18" s="7">
        <v>25.396825396825395</v>
      </c>
      <c r="O18" s="7">
        <v>0.0</v>
      </c>
      <c r="P18" s="7">
        <v>0.0</v>
      </c>
      <c r="Q18" s="7">
        <v>26.229508196721312</v>
      </c>
      <c r="R18" s="7">
        <v>0.0</v>
      </c>
      <c r="S18" s="7">
        <v>0.0</v>
      </c>
      <c r="T18" s="7">
        <v>21.875</v>
      </c>
      <c r="U18" s="7">
        <v>0.0</v>
      </c>
      <c r="V18" s="7">
        <v>0.0</v>
      </c>
      <c r="W18" s="7">
        <v>20.8955223880597</v>
      </c>
      <c r="X18" s="7">
        <v>0.0</v>
      </c>
      <c r="Y18" s="7">
        <v>0.0</v>
      </c>
      <c r="Z18" s="7">
        <v>20.689655172413794</v>
      </c>
      <c r="AA18" s="7">
        <v>0.0</v>
      </c>
      <c r="AB18" s="7">
        <v>0.0</v>
      </c>
      <c r="AC18" s="7">
        <v>24.65753424657534</v>
      </c>
      <c r="AD18" s="7">
        <v>0.0</v>
      </c>
      <c r="AE18" s="7">
        <v>0.0</v>
      </c>
      <c r="AF18" s="7">
        <v>20.77922077922078</v>
      </c>
      <c r="AG18" s="7">
        <v>0.0</v>
      </c>
      <c r="AH18" s="7">
        <v>0.0</v>
      </c>
      <c r="AI18" s="7">
        <v>18.6046511627907</v>
      </c>
      <c r="AJ18" s="7">
        <v>0.0</v>
      </c>
      <c r="AK18" s="7">
        <v>0.0</v>
      </c>
    </row>
    <row r="19">
      <c r="A19" s="4" t="s">
        <v>53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31.03448275862069</v>
      </c>
      <c r="AA19" s="7">
        <v>36.73469387755102</v>
      </c>
      <c r="AB19" s="7">
        <v>36.73469387755102</v>
      </c>
      <c r="AC19" s="7">
        <v>49.31506849315068</v>
      </c>
      <c r="AD19" s="7">
        <v>52.94117647058823</v>
      </c>
      <c r="AE19" s="7">
        <v>52.94117647058823</v>
      </c>
      <c r="AF19" s="7">
        <v>23.376623376623378</v>
      </c>
      <c r="AG19" s="7">
        <v>48.64864864864865</v>
      </c>
      <c r="AH19" s="7">
        <v>48.64864864864865</v>
      </c>
      <c r="AI19" s="7">
        <v>20.930232558139533</v>
      </c>
      <c r="AJ19" s="7">
        <v>21.176470588235293</v>
      </c>
      <c r="AK19" s="7">
        <v>21.176470588235293</v>
      </c>
    </row>
    <row r="20">
      <c r="A20" s="4" t="s">
        <v>54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81.9672131147541</v>
      </c>
      <c r="R20" s="7">
        <v>0.0</v>
      </c>
      <c r="S20" s="7">
        <v>50.0</v>
      </c>
      <c r="T20" s="7">
        <v>78.125</v>
      </c>
      <c r="U20" s="7">
        <v>0.0</v>
      </c>
      <c r="V20" s="7">
        <v>44.64285714285714</v>
      </c>
      <c r="W20" s="7">
        <v>74.6268656716418</v>
      </c>
      <c r="X20" s="7">
        <v>0.0</v>
      </c>
      <c r="Y20" s="7">
        <v>40.32258064516129</v>
      </c>
      <c r="Z20" s="7">
        <v>129.3103448275862</v>
      </c>
      <c r="AA20" s="7">
        <v>0.0</v>
      </c>
      <c r="AB20" s="7">
        <v>51.0204081632653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</row>
    <row r="21">
      <c r="A21" s="4" t="s">
        <v>55</v>
      </c>
      <c r="B21" s="7">
        <v>84.70588235294117</v>
      </c>
      <c r="C21" s="7">
        <v>87.8048780487805</v>
      </c>
      <c r="D21" s="7">
        <v>87.8048780487805</v>
      </c>
      <c r="E21" s="7">
        <v>84.70588235294117</v>
      </c>
      <c r="F21" s="7">
        <v>87.8048780487805</v>
      </c>
      <c r="G21" s="7">
        <v>87.8048780487805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93.02325581395348</v>
      </c>
      <c r="AJ21" s="7">
        <v>94.11764705882352</v>
      </c>
      <c r="AK21" s="7">
        <v>94.11764705882352</v>
      </c>
    </row>
    <row r="22">
      <c r="A22" s="4" t="s">
        <v>56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25.396825396825395</v>
      </c>
      <c r="O22" s="7">
        <v>0.0</v>
      </c>
      <c r="P22" s="7">
        <v>0.0</v>
      </c>
      <c r="Q22" s="7">
        <v>26.229508196721312</v>
      </c>
      <c r="R22" s="7">
        <v>0.0</v>
      </c>
      <c r="S22" s="7">
        <v>0.0</v>
      </c>
      <c r="T22" s="7">
        <v>25.0</v>
      </c>
      <c r="U22" s="7">
        <v>0.0</v>
      </c>
      <c r="V22" s="7">
        <v>0.0</v>
      </c>
      <c r="W22" s="7">
        <v>23.88059701492537</v>
      </c>
      <c r="X22" s="7">
        <v>0.0</v>
      </c>
      <c r="Y22" s="7">
        <v>0.0</v>
      </c>
      <c r="Z22" s="7">
        <v>27.586206896551722</v>
      </c>
      <c r="AA22" s="7">
        <v>0.0</v>
      </c>
      <c r="AB22" s="7">
        <v>0.0</v>
      </c>
      <c r="AC22" s="7">
        <v>32.87671232876712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</row>
    <row r="23">
      <c r="A23" s="4" t="s">
        <v>57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</v>
      </c>
      <c r="S23" s="7">
        <v>80.0</v>
      </c>
      <c r="T23" s="7">
        <v>0.0</v>
      </c>
      <c r="U23" s="7">
        <v>0.0</v>
      </c>
      <c r="V23" s="7">
        <v>71.42857142857143</v>
      </c>
      <c r="W23" s="7">
        <v>0.0</v>
      </c>
      <c r="X23" s="7">
        <v>0.0</v>
      </c>
      <c r="Y23" s="7">
        <v>64.51612903225806</v>
      </c>
      <c r="Z23" s="7">
        <v>0.0</v>
      </c>
      <c r="AA23" s="7">
        <v>0.0</v>
      </c>
      <c r="AB23" s="7">
        <v>81.63265306122449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</row>
    <row r="24">
      <c r="A24" s="4" t="s">
        <v>58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178.57142857142856</v>
      </c>
      <c r="N24" s="7">
        <v>0.0</v>
      </c>
      <c r="O24" s="7">
        <v>0.0</v>
      </c>
      <c r="P24" s="7">
        <v>204.0816326530612</v>
      </c>
      <c r="Q24" s="7">
        <v>0.0</v>
      </c>
      <c r="R24" s="7">
        <v>0.0</v>
      </c>
      <c r="S24" s="7">
        <v>200.0</v>
      </c>
      <c r="T24" s="7">
        <v>0.0</v>
      </c>
      <c r="U24" s="7">
        <v>0.0</v>
      </c>
      <c r="V24" s="7">
        <v>178.57142857142856</v>
      </c>
      <c r="W24" s="7">
        <v>0.0</v>
      </c>
      <c r="X24" s="7">
        <v>0.0</v>
      </c>
      <c r="Y24" s="7">
        <v>161.29032258064515</v>
      </c>
      <c r="Z24" s="7">
        <v>0.0</v>
      </c>
      <c r="AA24" s="7">
        <v>0.0</v>
      </c>
      <c r="AB24" s="7">
        <v>204.0816326530612</v>
      </c>
      <c r="AC24" s="7">
        <v>0.0</v>
      </c>
      <c r="AD24" s="7">
        <v>0.0</v>
      </c>
      <c r="AE24" s="7">
        <v>220.58823529411765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</row>
    <row r="25">
      <c r="A25" s="4" t="s">
        <v>59</v>
      </c>
      <c r="B25" s="7">
        <v>0.0</v>
      </c>
      <c r="C25" s="7">
        <v>0.0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245.90163934426232</v>
      </c>
      <c r="Y25" s="7">
        <v>241.93548387096774</v>
      </c>
      <c r="Z25" s="7">
        <v>0.0</v>
      </c>
      <c r="AA25" s="7">
        <v>306.1224489795918</v>
      </c>
      <c r="AB25" s="7">
        <v>306.1224489795918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</row>
    <row r="26">
      <c r="A26" s="4" t="s">
        <v>60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112.5</v>
      </c>
      <c r="U26" s="7">
        <v>147.27272727272728</v>
      </c>
      <c r="V26" s="7">
        <v>144.64285714285717</v>
      </c>
      <c r="W26" s="7">
        <v>134.32835820895522</v>
      </c>
      <c r="X26" s="7">
        <v>147.54098360655738</v>
      </c>
      <c r="Y26" s="7">
        <v>130.6451612903226</v>
      </c>
      <c r="Z26" s="7">
        <v>108.62068965517241</v>
      </c>
      <c r="AA26" s="7">
        <v>128.57142857142856</v>
      </c>
      <c r="AB26" s="7">
        <v>91.83673469387756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</row>
    <row r="27">
      <c r="A27" s="4" t="s">
        <v>61</v>
      </c>
      <c r="B27" s="7">
        <v>0.0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91.80327868852459</v>
      </c>
      <c r="R27" s="7">
        <v>114.28571428571428</v>
      </c>
      <c r="S27" s="7">
        <v>112.00000000000001</v>
      </c>
      <c r="T27" s="7">
        <v>87.5</v>
      </c>
      <c r="U27" s="7">
        <v>101.81818181818181</v>
      </c>
      <c r="V27" s="7">
        <v>100.0</v>
      </c>
      <c r="W27" s="7">
        <v>83.5820895522388</v>
      </c>
      <c r="X27" s="7">
        <v>91.80327868852459</v>
      </c>
      <c r="Y27" s="7">
        <v>90.32258064516128</v>
      </c>
      <c r="Z27" s="7">
        <v>110.34482758620689</v>
      </c>
      <c r="AA27" s="7">
        <v>130.6122448979592</v>
      </c>
      <c r="AB27" s="7">
        <v>130.6122448979592</v>
      </c>
      <c r="AC27" s="7">
        <v>98.63013698630137</v>
      </c>
      <c r="AD27" s="7">
        <v>105.88235294117648</v>
      </c>
      <c r="AE27" s="7">
        <v>94.11764705882352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</row>
    <row r="28">
      <c r="A28" s="4" t="s">
        <v>62</v>
      </c>
      <c r="B28" s="7">
        <v>28.235294117647058</v>
      </c>
      <c r="C28" s="7">
        <v>29.26829268292683</v>
      </c>
      <c r="D28" s="7">
        <v>29.26829268292683</v>
      </c>
      <c r="E28" s="7">
        <v>28.235294117647058</v>
      </c>
      <c r="F28" s="7">
        <v>29.26829268292683</v>
      </c>
      <c r="G28" s="7">
        <v>29.26829268292683</v>
      </c>
      <c r="H28" s="7">
        <v>25.925925925925924</v>
      </c>
      <c r="I28" s="7">
        <v>30.0</v>
      </c>
      <c r="J28" s="7">
        <v>30.0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32.87671232876712</v>
      </c>
      <c r="AD28" s="7">
        <v>35.294117647058826</v>
      </c>
      <c r="AE28" s="7">
        <v>35.294117647058826</v>
      </c>
      <c r="AF28" s="7">
        <v>35.064935064935064</v>
      </c>
      <c r="AG28" s="7">
        <v>40.54054054054054</v>
      </c>
      <c r="AH28" s="7">
        <v>36.48648648648649</v>
      </c>
      <c r="AI28" s="7">
        <v>27.906976744186046</v>
      </c>
      <c r="AJ28" s="7">
        <v>28.235294117647058</v>
      </c>
      <c r="AK28" s="7">
        <v>28.235294117647058</v>
      </c>
    </row>
    <row r="29">
      <c r="A29" s="4" t="s">
        <v>63</v>
      </c>
      <c r="B29" s="7">
        <v>0.23529411764705882</v>
      </c>
      <c r="C29" s="7">
        <v>0.24390243902439024</v>
      </c>
      <c r="D29" s="7">
        <v>0.24390243902439024</v>
      </c>
      <c r="E29" s="7">
        <v>0.23529411764705882</v>
      </c>
      <c r="F29" s="7">
        <v>0.24390243902439024</v>
      </c>
      <c r="G29" s="7">
        <v>0.24390243902439024</v>
      </c>
      <c r="H29" s="7">
        <v>0.24691358024691357</v>
      </c>
      <c r="I29" s="7">
        <v>0.2857142857142857</v>
      </c>
      <c r="J29" s="7">
        <v>0.2857142857142857</v>
      </c>
      <c r="K29" s="7">
        <v>0.30303030303030304</v>
      </c>
      <c r="L29" s="7">
        <v>0.36363636363636365</v>
      </c>
      <c r="M29" s="7">
        <v>0.3571428571428571</v>
      </c>
      <c r="N29" s="7">
        <v>0.31746031746031744</v>
      </c>
      <c r="O29" s="7">
        <v>0.39215686274509803</v>
      </c>
      <c r="P29" s="7">
        <v>0.4081632653061224</v>
      </c>
      <c r="Q29" s="7">
        <v>0.3278688524590164</v>
      </c>
      <c r="R29" s="7">
        <v>0.4081632653061224</v>
      </c>
      <c r="S29" s="7">
        <v>0.4</v>
      </c>
      <c r="T29" s="7">
        <v>0.3125</v>
      </c>
      <c r="U29" s="7">
        <v>0.36363636363636365</v>
      </c>
      <c r="V29" s="7">
        <v>0.3571428571428571</v>
      </c>
      <c r="W29" s="7">
        <v>0.29850746268656714</v>
      </c>
      <c r="X29" s="7">
        <v>0.3278688524590164</v>
      </c>
      <c r="Y29" s="7">
        <v>0.3225806451612903</v>
      </c>
      <c r="Z29" s="7">
        <v>0.3448275862068966</v>
      </c>
      <c r="AA29" s="7">
        <v>0.4081632653061224</v>
      </c>
      <c r="AB29" s="7">
        <v>0.4081632653061224</v>
      </c>
      <c r="AC29" s="7">
        <v>0.273972602739726</v>
      </c>
      <c r="AD29" s="7">
        <v>0.29411764705882354</v>
      </c>
      <c r="AE29" s="7">
        <v>0.29411764705882354</v>
      </c>
      <c r="AF29" s="7">
        <v>0.25974025974025977</v>
      </c>
      <c r="AG29" s="7">
        <v>0.2702702702702703</v>
      </c>
      <c r="AH29" s="7">
        <v>0.2702702702702703</v>
      </c>
      <c r="AI29" s="7">
        <v>0.23255813953488372</v>
      </c>
      <c r="AJ29" s="7">
        <v>0.23529411764705882</v>
      </c>
      <c r="AK29" s="7">
        <v>0.23529411764705882</v>
      </c>
    </row>
    <row r="30">
      <c r="A30" s="4" t="s">
        <v>64</v>
      </c>
      <c r="B30" s="7">
        <v>0.11764705882352941</v>
      </c>
      <c r="C30" s="7">
        <v>0.12195121951219512</v>
      </c>
      <c r="D30" s="7">
        <v>0.12195121951219512</v>
      </c>
      <c r="E30" s="7">
        <v>0.11764705882352941</v>
      </c>
      <c r="F30" s="7">
        <v>0.12195121951219512</v>
      </c>
      <c r="G30" s="7">
        <v>0.12195121951219512</v>
      </c>
      <c r="H30" s="7">
        <v>0.12345679012345678</v>
      </c>
      <c r="I30" s="7">
        <v>0.14285714285714285</v>
      </c>
      <c r="J30" s="7">
        <v>0.14285714285714285</v>
      </c>
      <c r="K30" s="7">
        <v>0.15151515151515152</v>
      </c>
      <c r="L30" s="7">
        <v>0.18181818181818182</v>
      </c>
      <c r="M30" s="7">
        <v>0.17857142857142855</v>
      </c>
      <c r="N30" s="7">
        <v>0.15873015873015872</v>
      </c>
      <c r="O30" s="7">
        <v>0.19607843137254902</v>
      </c>
      <c r="P30" s="7">
        <v>0.2040816326530612</v>
      </c>
      <c r="Q30" s="7">
        <v>0.1639344262295082</v>
      </c>
      <c r="R30" s="7">
        <v>0.2040816326530612</v>
      </c>
      <c r="S30" s="7">
        <v>0.2</v>
      </c>
      <c r="T30" s="7">
        <v>0.15625</v>
      </c>
      <c r="U30" s="7">
        <v>0.18181818181818182</v>
      </c>
      <c r="V30" s="7">
        <v>0.17857142857142855</v>
      </c>
      <c r="W30" s="7">
        <v>0.14925373134328357</v>
      </c>
      <c r="X30" s="7">
        <v>0.1639344262295082</v>
      </c>
      <c r="Y30" s="7">
        <v>0.16129032258064516</v>
      </c>
      <c r="Z30" s="7">
        <v>0.1724137931034483</v>
      </c>
      <c r="AA30" s="7">
        <v>0.2040816326530612</v>
      </c>
      <c r="AB30" s="7">
        <v>0.2040816326530612</v>
      </c>
      <c r="AC30" s="7">
        <v>0.136986301369863</v>
      </c>
      <c r="AD30" s="7">
        <v>0.14705882352941177</v>
      </c>
      <c r="AE30" s="7">
        <v>0.14705882352941177</v>
      </c>
      <c r="AF30" s="7">
        <v>0.12987012987012989</v>
      </c>
      <c r="AG30" s="7">
        <v>0.13513513513513514</v>
      </c>
      <c r="AH30" s="7">
        <v>0.13513513513513514</v>
      </c>
      <c r="AI30" s="7">
        <v>0.11627906976744186</v>
      </c>
      <c r="AJ30" s="7">
        <v>0.11764705882352941</v>
      </c>
      <c r="AK30" s="7">
        <v>0.11764705882352941</v>
      </c>
    </row>
    <row r="31">
      <c r="A31" s="4" t="s">
        <v>65</v>
      </c>
      <c r="B31" s="7">
        <v>0.11764705882352941</v>
      </c>
      <c r="C31" s="7">
        <v>0.12195121951219512</v>
      </c>
      <c r="D31" s="7">
        <v>0.12195121951219512</v>
      </c>
      <c r="E31" s="7">
        <v>0.11764705882352941</v>
      </c>
      <c r="F31" s="7">
        <v>0.12195121951219512</v>
      </c>
      <c r="G31" s="7">
        <v>0.12195121951219512</v>
      </c>
      <c r="H31" s="7">
        <v>0.12345679012345678</v>
      </c>
      <c r="I31" s="7">
        <v>0.14285714285714285</v>
      </c>
      <c r="J31" s="7">
        <v>0.14285714285714285</v>
      </c>
      <c r="K31" s="7">
        <v>0.15151515151515152</v>
      </c>
      <c r="L31" s="7">
        <v>0.18181818181818182</v>
      </c>
      <c r="M31" s="7">
        <v>0.17857142857142855</v>
      </c>
      <c r="N31" s="7">
        <v>0.15873015873015872</v>
      </c>
      <c r="O31" s="7">
        <v>0.19607843137254902</v>
      </c>
      <c r="P31" s="7">
        <v>0.2040816326530612</v>
      </c>
      <c r="Q31" s="7">
        <v>0.1639344262295082</v>
      </c>
      <c r="R31" s="7">
        <v>0.2040816326530612</v>
      </c>
      <c r="S31" s="7">
        <v>0.2</v>
      </c>
      <c r="T31" s="7">
        <v>0.15625</v>
      </c>
      <c r="U31" s="7">
        <v>0.18181818181818182</v>
      </c>
      <c r="V31" s="7">
        <v>0.17857142857142855</v>
      </c>
      <c r="W31" s="7">
        <v>0.14925373134328357</v>
      </c>
      <c r="X31" s="7">
        <v>0.1639344262295082</v>
      </c>
      <c r="Y31" s="7">
        <v>0.16129032258064516</v>
      </c>
      <c r="Z31" s="7">
        <v>0.1724137931034483</v>
      </c>
      <c r="AA31" s="7">
        <v>0.2040816326530612</v>
      </c>
      <c r="AB31" s="7">
        <v>0.2040816326530612</v>
      </c>
      <c r="AC31" s="7">
        <v>0.136986301369863</v>
      </c>
      <c r="AD31" s="7">
        <v>0.14705882352941177</v>
      </c>
      <c r="AE31" s="7">
        <v>0.14705882352941177</v>
      </c>
      <c r="AF31" s="7">
        <v>0.12987012987012989</v>
      </c>
      <c r="AG31" s="7">
        <v>0.13513513513513514</v>
      </c>
      <c r="AH31" s="7">
        <v>0.13513513513513514</v>
      </c>
      <c r="AI31" s="7">
        <v>0.11627906976744186</v>
      </c>
      <c r="AJ31" s="7">
        <v>0.11764705882352941</v>
      </c>
      <c r="AK31" s="7">
        <v>0.11764705882352941</v>
      </c>
    </row>
    <row r="32">
      <c r="A32" s="4" t="s">
        <v>66</v>
      </c>
      <c r="B32" s="7">
        <v>0.23529411764705882</v>
      </c>
      <c r="C32" s="7">
        <v>0.24390243902439024</v>
      </c>
      <c r="D32" s="7">
        <v>0.24390243902439024</v>
      </c>
      <c r="E32" s="7">
        <v>0.23529411764705882</v>
      </c>
      <c r="F32" s="7">
        <v>0.24390243902439024</v>
      </c>
      <c r="G32" s="7">
        <v>0.24390243902439024</v>
      </c>
      <c r="H32" s="7">
        <v>0.24691358024691357</v>
      </c>
      <c r="I32" s="7">
        <v>0.2857142857142857</v>
      </c>
      <c r="J32" s="7">
        <v>0.2857142857142857</v>
      </c>
      <c r="K32" s="7">
        <v>0.30303030303030304</v>
      </c>
      <c r="L32" s="7">
        <v>0.36363636363636365</v>
      </c>
      <c r="M32" s="7">
        <v>0.3571428571428571</v>
      </c>
      <c r="N32" s="7">
        <v>0.31746031746031744</v>
      </c>
      <c r="O32" s="7">
        <v>0.39215686274509803</v>
      </c>
      <c r="P32" s="7">
        <v>0.4081632653061224</v>
      </c>
      <c r="Q32" s="7">
        <v>0.3278688524590164</v>
      </c>
      <c r="R32" s="7">
        <v>0.4081632653061224</v>
      </c>
      <c r="S32" s="7">
        <v>0.4</v>
      </c>
      <c r="T32" s="7">
        <v>0.3125</v>
      </c>
      <c r="U32" s="7">
        <v>0.36363636363636365</v>
      </c>
      <c r="V32" s="7">
        <v>0.3571428571428571</v>
      </c>
      <c r="W32" s="7">
        <v>0.29850746268656714</v>
      </c>
      <c r="X32" s="7">
        <v>0.3278688524590164</v>
      </c>
      <c r="Y32" s="7">
        <v>0.3225806451612903</v>
      </c>
      <c r="Z32" s="7">
        <v>0.3448275862068966</v>
      </c>
      <c r="AA32" s="7">
        <v>0.4081632653061224</v>
      </c>
      <c r="AB32" s="7">
        <v>0.4081632653061224</v>
      </c>
      <c r="AC32" s="7">
        <v>0.273972602739726</v>
      </c>
      <c r="AD32" s="7">
        <v>0.29411764705882354</v>
      </c>
      <c r="AE32" s="7">
        <v>0.29411764705882354</v>
      </c>
      <c r="AF32" s="7">
        <v>0.25974025974025977</v>
      </c>
      <c r="AG32" s="7">
        <v>0.2702702702702703</v>
      </c>
      <c r="AH32" s="7">
        <v>0.2702702702702703</v>
      </c>
      <c r="AI32" s="7">
        <v>0.23255813953488372</v>
      </c>
      <c r="AJ32" s="7">
        <v>0.23529411764705882</v>
      </c>
      <c r="AK32" s="7">
        <v>0.23529411764705882</v>
      </c>
    </row>
    <row r="33">
      <c r="A33" s="10" t="s">
        <v>76</v>
      </c>
      <c r="B33" s="11">
        <f t="shared" ref="B33:AK33" si="1">SUM(B2:B32)</f>
        <v>380.2352941</v>
      </c>
      <c r="C33" s="11">
        <f t="shared" si="1"/>
        <v>402.4390244</v>
      </c>
      <c r="D33" s="11">
        <f t="shared" si="1"/>
        <v>402.4390244</v>
      </c>
      <c r="E33" s="11">
        <f t="shared" si="1"/>
        <v>380.2352941</v>
      </c>
      <c r="F33" s="11">
        <f t="shared" si="1"/>
        <v>402.4390244</v>
      </c>
      <c r="G33" s="11">
        <f t="shared" si="1"/>
        <v>402.4390244</v>
      </c>
      <c r="H33" s="11">
        <f t="shared" si="1"/>
        <v>369.6296296</v>
      </c>
      <c r="I33" s="11">
        <f t="shared" si="1"/>
        <v>387.4285714</v>
      </c>
      <c r="J33" s="11">
        <f t="shared" si="1"/>
        <v>387.4285714</v>
      </c>
      <c r="K33" s="11">
        <f t="shared" si="1"/>
        <v>312.7272727</v>
      </c>
      <c r="L33" s="11">
        <f t="shared" si="1"/>
        <v>280.3636364</v>
      </c>
      <c r="M33" s="11">
        <f t="shared" si="1"/>
        <v>451.0714286</v>
      </c>
      <c r="N33" s="11">
        <f t="shared" si="1"/>
        <v>421.2698413</v>
      </c>
      <c r="O33" s="11">
        <f t="shared" si="1"/>
        <v>436.4705882</v>
      </c>
      <c r="P33" s="11">
        <f t="shared" si="1"/>
        <v>638.7755102</v>
      </c>
      <c r="Q33" s="11">
        <f t="shared" si="1"/>
        <v>737.704918</v>
      </c>
      <c r="R33" s="11">
        <f t="shared" si="1"/>
        <v>1489.387755</v>
      </c>
      <c r="S33" s="11">
        <f t="shared" si="1"/>
        <v>1378.4</v>
      </c>
      <c r="T33" s="11">
        <f t="shared" si="1"/>
        <v>794.6875</v>
      </c>
      <c r="U33" s="11">
        <f t="shared" si="1"/>
        <v>1405.090909</v>
      </c>
      <c r="V33" s="11">
        <f t="shared" si="1"/>
        <v>1307.5</v>
      </c>
      <c r="W33" s="11">
        <f t="shared" si="1"/>
        <v>791.9402985</v>
      </c>
      <c r="X33" s="11">
        <f t="shared" si="1"/>
        <v>1531.47541</v>
      </c>
      <c r="Y33" s="11">
        <f t="shared" si="1"/>
        <v>1433.225806</v>
      </c>
      <c r="Z33" s="11">
        <f t="shared" si="1"/>
        <v>1210</v>
      </c>
      <c r="AA33" s="11">
        <f t="shared" si="1"/>
        <v>1953.469388</v>
      </c>
      <c r="AB33" s="11">
        <f t="shared" si="1"/>
        <v>1837.142857</v>
      </c>
      <c r="AC33" s="11">
        <f t="shared" si="1"/>
        <v>538.9041096</v>
      </c>
      <c r="AD33" s="11">
        <f t="shared" si="1"/>
        <v>706.1764706</v>
      </c>
      <c r="AE33" s="11">
        <f t="shared" si="1"/>
        <v>906.7647059</v>
      </c>
      <c r="AF33" s="11">
        <f t="shared" si="1"/>
        <v>441.8181818</v>
      </c>
      <c r="AG33" s="11">
        <f t="shared" si="1"/>
        <v>548.3783784</v>
      </c>
      <c r="AH33" s="11">
        <f t="shared" si="1"/>
        <v>549.7297297</v>
      </c>
      <c r="AI33" s="11">
        <f t="shared" si="1"/>
        <v>388.1395349</v>
      </c>
      <c r="AJ33" s="11">
        <f t="shared" si="1"/>
        <v>405.1764706</v>
      </c>
      <c r="AK33" s="11">
        <f t="shared" si="1"/>
        <v>405.1764706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77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2">
        <v>1.0</v>
      </c>
      <c r="J2" s="2">
        <v>1.0</v>
      </c>
      <c r="K2" s="12">
        <v>0.0</v>
      </c>
      <c r="L2" s="2">
        <v>1.0</v>
      </c>
      <c r="M2" s="2">
        <v>1.0</v>
      </c>
      <c r="N2" s="12">
        <v>0.0</v>
      </c>
      <c r="O2" s="2">
        <v>1.0</v>
      </c>
      <c r="P2" s="2">
        <v>1.0</v>
      </c>
      <c r="Q2" s="12">
        <v>0.0</v>
      </c>
      <c r="R2" s="2">
        <v>1.0</v>
      </c>
      <c r="S2" s="2">
        <v>1.0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2">
        <v>2.0</v>
      </c>
      <c r="AA2" s="2">
        <v>1.0</v>
      </c>
      <c r="AB2" s="2">
        <v>1.0</v>
      </c>
      <c r="AC2" s="3">
        <v>4.0</v>
      </c>
      <c r="AD2" s="2">
        <v>1.0</v>
      </c>
      <c r="AE2" s="2">
        <v>1.0</v>
      </c>
      <c r="AF2" s="2">
        <v>2.0</v>
      </c>
      <c r="AG2" s="2">
        <v>1.0</v>
      </c>
      <c r="AH2" s="2">
        <v>1.0</v>
      </c>
      <c r="AI2" s="12">
        <v>0.0</v>
      </c>
      <c r="AJ2" s="12">
        <v>0.0</v>
      </c>
      <c r="AK2" s="12">
        <v>0.0</v>
      </c>
    </row>
    <row r="3">
      <c r="A3" s="1" t="s">
        <v>78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2">
        <v>7.0</v>
      </c>
      <c r="J3" s="2">
        <v>7.0</v>
      </c>
      <c r="K3" s="12">
        <v>0.0</v>
      </c>
      <c r="L3" s="2">
        <v>8.0</v>
      </c>
      <c r="M3" s="2">
        <v>8.0</v>
      </c>
      <c r="N3" s="12">
        <v>0.0</v>
      </c>
      <c r="O3" s="2">
        <v>6.0</v>
      </c>
      <c r="P3" s="2">
        <v>6.0</v>
      </c>
      <c r="Q3" s="12">
        <v>0.0</v>
      </c>
      <c r="R3" s="2">
        <v>7.0</v>
      </c>
      <c r="S3" s="2">
        <v>7.0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2">
        <v>3.0</v>
      </c>
      <c r="AA3" s="2">
        <v>6.0</v>
      </c>
      <c r="AB3" s="2">
        <v>6.0</v>
      </c>
      <c r="AC3" s="2">
        <v>8.0</v>
      </c>
      <c r="AD3" s="2">
        <v>8.0</v>
      </c>
      <c r="AE3" s="2">
        <v>8.0</v>
      </c>
      <c r="AF3" s="2">
        <v>3.0</v>
      </c>
      <c r="AG3" s="3">
        <v>9.0</v>
      </c>
      <c r="AH3" s="3">
        <v>9.0</v>
      </c>
      <c r="AI3" s="12">
        <v>0.0</v>
      </c>
      <c r="AJ3" s="12">
        <v>0.0</v>
      </c>
      <c r="AK3" s="12">
        <v>0.0</v>
      </c>
    </row>
    <row r="4">
      <c r="A4" s="1" t="s">
        <v>79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3">
        <v>1.0</v>
      </c>
      <c r="J4" s="3">
        <v>1.0</v>
      </c>
      <c r="K4" s="12">
        <v>0.0</v>
      </c>
      <c r="L4" s="3">
        <v>1.0</v>
      </c>
      <c r="M4" s="3">
        <v>1.0</v>
      </c>
      <c r="N4" s="12">
        <v>0.0</v>
      </c>
      <c r="O4" s="3">
        <v>1.0</v>
      </c>
      <c r="P4" s="3">
        <v>1.0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2">
        <v>0.0</v>
      </c>
      <c r="AA4" s="3">
        <v>1.0</v>
      </c>
      <c r="AB4" s="3">
        <v>1.0</v>
      </c>
      <c r="AC4" s="12">
        <v>0.0</v>
      </c>
      <c r="AD4" s="3">
        <v>1.0</v>
      </c>
      <c r="AE4" s="3">
        <v>1.0</v>
      </c>
      <c r="AF4" s="12">
        <v>0.0</v>
      </c>
      <c r="AG4" s="3">
        <v>1.0</v>
      </c>
      <c r="AH4" s="3">
        <v>1.0</v>
      </c>
      <c r="AI4" s="12">
        <v>0.0</v>
      </c>
      <c r="AJ4" s="12">
        <v>0.0</v>
      </c>
      <c r="AK4" s="12">
        <v>0.0</v>
      </c>
    </row>
    <row r="5">
      <c r="A5" s="1" t="s">
        <v>80</v>
      </c>
      <c r="B5" s="12">
        <v>0.0</v>
      </c>
      <c r="C5" s="3">
        <v>1.0</v>
      </c>
      <c r="D5" s="3">
        <v>1.0</v>
      </c>
      <c r="E5" s="12">
        <v>0.0</v>
      </c>
      <c r="F5" s="3">
        <v>1.0</v>
      </c>
      <c r="G5" s="3">
        <v>1.0</v>
      </c>
      <c r="H5" s="12">
        <v>0.0</v>
      </c>
      <c r="I5" s="3">
        <v>1.0</v>
      </c>
      <c r="J5" s="3">
        <v>1.0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0.0</v>
      </c>
      <c r="AJ5" s="3">
        <v>1.0</v>
      </c>
      <c r="AK5" s="3">
        <v>1.0</v>
      </c>
    </row>
    <row r="6">
      <c r="A6" s="1" t="s">
        <v>63</v>
      </c>
      <c r="B6" s="3">
        <v>2.0</v>
      </c>
      <c r="C6" s="3">
        <v>2.0</v>
      </c>
      <c r="D6" s="3">
        <v>2.0</v>
      </c>
      <c r="E6" s="3">
        <v>2.0</v>
      </c>
      <c r="F6" s="3">
        <v>2.0</v>
      </c>
      <c r="G6" s="3">
        <v>2.0</v>
      </c>
      <c r="H6" s="3">
        <v>2.0</v>
      </c>
      <c r="I6" s="3">
        <v>2.0</v>
      </c>
      <c r="J6" s="3">
        <v>2.0</v>
      </c>
      <c r="K6" s="3">
        <v>2.0</v>
      </c>
      <c r="L6" s="3">
        <v>2.0</v>
      </c>
      <c r="M6" s="3">
        <v>2.0</v>
      </c>
      <c r="N6" s="3">
        <v>2.0</v>
      </c>
      <c r="O6" s="3">
        <v>2.0</v>
      </c>
      <c r="P6" s="3">
        <v>2.0</v>
      </c>
      <c r="Q6" s="3">
        <v>2.0</v>
      </c>
      <c r="R6" s="3">
        <v>2.0</v>
      </c>
      <c r="S6" s="3">
        <v>2.0</v>
      </c>
      <c r="T6" s="3">
        <v>2.0</v>
      </c>
      <c r="U6" s="3">
        <v>2.0</v>
      </c>
      <c r="V6" s="3">
        <v>2.0</v>
      </c>
      <c r="W6" s="3">
        <v>2.0</v>
      </c>
      <c r="X6" s="3">
        <v>2.0</v>
      </c>
      <c r="Y6" s="3">
        <v>2.0</v>
      </c>
      <c r="Z6" s="3">
        <v>2.0</v>
      </c>
      <c r="AA6" s="3">
        <v>2.0</v>
      </c>
      <c r="AB6" s="3">
        <v>2.0</v>
      </c>
      <c r="AC6" s="3">
        <v>2.0</v>
      </c>
      <c r="AD6" s="3">
        <v>2.0</v>
      </c>
      <c r="AE6" s="3">
        <v>2.0</v>
      </c>
      <c r="AF6" s="3">
        <v>2.0</v>
      </c>
      <c r="AG6" s="3">
        <v>2.0</v>
      </c>
      <c r="AH6" s="3">
        <v>2.0</v>
      </c>
      <c r="AI6" s="3">
        <v>2.0</v>
      </c>
      <c r="AJ6" s="3">
        <v>2.0</v>
      </c>
      <c r="AK6" s="3">
        <v>2.0</v>
      </c>
    </row>
    <row r="7">
      <c r="A7" s="1" t="s">
        <v>64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1.0</v>
      </c>
      <c r="AE7" s="3">
        <v>1.0</v>
      </c>
      <c r="AF7" s="3">
        <v>1.0</v>
      </c>
      <c r="AG7" s="3">
        <v>1.0</v>
      </c>
      <c r="AH7" s="3">
        <v>1.0</v>
      </c>
      <c r="AI7" s="3">
        <v>1.0</v>
      </c>
      <c r="AJ7" s="3">
        <v>1.0</v>
      </c>
      <c r="AK7" s="3">
        <v>1.0</v>
      </c>
    </row>
    <row r="8">
      <c r="A8" s="1" t="s">
        <v>65</v>
      </c>
      <c r="B8" s="3">
        <v>1.0</v>
      </c>
      <c r="C8" s="3">
        <v>1.0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1.0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1.0</v>
      </c>
      <c r="P8" s="3">
        <v>1.0</v>
      </c>
      <c r="Q8" s="3">
        <v>1.0</v>
      </c>
      <c r="R8" s="3">
        <v>1.0</v>
      </c>
      <c r="S8" s="3">
        <v>1.0</v>
      </c>
      <c r="T8" s="3">
        <v>1.0</v>
      </c>
      <c r="U8" s="3">
        <v>1.0</v>
      </c>
      <c r="V8" s="3">
        <v>1.0</v>
      </c>
      <c r="W8" s="3">
        <v>1.0</v>
      </c>
      <c r="X8" s="3">
        <v>1.0</v>
      </c>
      <c r="Y8" s="3">
        <v>1.0</v>
      </c>
      <c r="Z8" s="3">
        <v>1.0</v>
      </c>
      <c r="AA8" s="3">
        <v>1.0</v>
      </c>
      <c r="AB8" s="3">
        <v>1.0</v>
      </c>
      <c r="AC8" s="3">
        <v>1.0</v>
      </c>
      <c r="AD8" s="3">
        <v>1.0</v>
      </c>
      <c r="AE8" s="3">
        <v>1.0</v>
      </c>
      <c r="AF8" s="3">
        <v>1.0</v>
      </c>
      <c r="AG8" s="3">
        <v>1.0</v>
      </c>
      <c r="AH8" s="3">
        <v>1.0</v>
      </c>
      <c r="AI8" s="3">
        <v>1.0</v>
      </c>
      <c r="AJ8" s="3">
        <v>1.0</v>
      </c>
      <c r="AK8" s="3">
        <v>1.0</v>
      </c>
    </row>
    <row r="9">
      <c r="A9" s="1" t="s">
        <v>66</v>
      </c>
      <c r="B9" s="3">
        <v>2.0</v>
      </c>
      <c r="C9" s="3">
        <v>2.0</v>
      </c>
      <c r="D9" s="3">
        <v>2.0</v>
      </c>
      <c r="E9" s="3">
        <v>2.0</v>
      </c>
      <c r="F9" s="3">
        <v>2.0</v>
      </c>
      <c r="G9" s="3">
        <v>2.0</v>
      </c>
      <c r="H9" s="3">
        <v>2.0</v>
      </c>
      <c r="I9" s="3">
        <v>2.0</v>
      </c>
      <c r="J9" s="3">
        <v>2.0</v>
      </c>
      <c r="K9" s="3">
        <v>2.0</v>
      </c>
      <c r="L9" s="3">
        <v>2.0</v>
      </c>
      <c r="M9" s="3">
        <v>2.0</v>
      </c>
      <c r="N9" s="3">
        <v>2.0</v>
      </c>
      <c r="O9" s="3">
        <v>2.0</v>
      </c>
      <c r="P9" s="3">
        <v>2.0</v>
      </c>
      <c r="Q9" s="3">
        <v>2.0</v>
      </c>
      <c r="R9" s="3">
        <v>2.0</v>
      </c>
      <c r="S9" s="3">
        <v>2.0</v>
      </c>
      <c r="T9" s="3">
        <v>2.0</v>
      </c>
      <c r="U9" s="3">
        <v>2.0</v>
      </c>
      <c r="V9" s="3">
        <v>2.0</v>
      </c>
      <c r="W9" s="3">
        <v>2.0</v>
      </c>
      <c r="X9" s="3">
        <v>2.0</v>
      </c>
      <c r="Y9" s="3">
        <v>2.0</v>
      </c>
      <c r="Z9" s="3">
        <v>2.0</v>
      </c>
      <c r="AA9" s="3">
        <v>2.0</v>
      </c>
      <c r="AB9" s="3">
        <v>2.0</v>
      </c>
      <c r="AC9" s="3">
        <v>2.0</v>
      </c>
      <c r="AD9" s="3">
        <v>2.0</v>
      </c>
      <c r="AE9" s="3">
        <v>2.0</v>
      </c>
      <c r="AF9" s="3">
        <v>2.0</v>
      </c>
      <c r="AG9" s="3">
        <v>2.0</v>
      </c>
      <c r="AH9" s="3">
        <v>2.0</v>
      </c>
      <c r="AI9" s="3">
        <v>2.0</v>
      </c>
      <c r="AJ9" s="3">
        <v>2.0</v>
      </c>
      <c r="AK9" s="3">
        <v>2.0</v>
      </c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J53" s="2"/>
      <c r="AK53" s="2"/>
    </row>
    <row r="55">
      <c r="B55" s="1"/>
      <c r="C55" s="1"/>
      <c r="D55" s="1"/>
    </row>
    <row r="107">
      <c r="B107" s="2"/>
      <c r="C107" s="2"/>
      <c r="D107" s="2"/>
    </row>
  </sheetData>
  <conditionalFormatting sqref="B2:AK47">
    <cfRule type="cellIs" dxfId="0" priority="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13"/>
      <c r="AM1" s="14"/>
      <c r="AN1" s="15" t="s">
        <v>81</v>
      </c>
      <c r="AO1" s="5"/>
      <c r="AP1" s="5"/>
      <c r="AQ1" s="5"/>
      <c r="AR1" s="5"/>
      <c r="AS1" s="5"/>
      <c r="AT1" s="5"/>
    </row>
    <row r="2">
      <c r="A2" s="4" t="s">
        <v>77</v>
      </c>
      <c r="B2" s="7">
        <f t="array" ref="B2:AK32">IF(
    'Cliff Top (Original Data)'!B2:AK32 = "",
    "",
    'Cliff Top (Original Data)'!B2:AK32 / (MMULT(TRANSPOSE(SIGN(ROW('Cliff Top (Original Data)'!B2:AK32))), N('Cliff Top (Original Data)'!B2:AK32)))
  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0.0625</v>
      </c>
      <c r="J2" s="7">
        <v>0.0625</v>
      </c>
      <c r="K2" s="7">
        <v>0.0</v>
      </c>
      <c r="L2" s="7">
        <v>0.0625</v>
      </c>
      <c r="M2" s="7">
        <v>0.0625</v>
      </c>
      <c r="N2" s="7">
        <v>0.0</v>
      </c>
      <c r="O2" s="7">
        <v>0.07142857142857142</v>
      </c>
      <c r="P2" s="7">
        <v>0.07142857142857142</v>
      </c>
      <c r="Q2" s="7">
        <v>0.0</v>
      </c>
      <c r="R2" s="7">
        <v>0.07142857142857142</v>
      </c>
      <c r="S2" s="7">
        <v>0.07142857142857142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0.18181818181818182</v>
      </c>
      <c r="AA2" s="7">
        <v>0.07142857142857142</v>
      </c>
      <c r="AB2" s="7">
        <v>0.07142857142857142</v>
      </c>
      <c r="AC2" s="7">
        <v>0.2222222222222222</v>
      </c>
      <c r="AD2" s="7">
        <v>0.0625</v>
      </c>
      <c r="AE2" s="7">
        <v>0.0625</v>
      </c>
      <c r="AF2" s="7">
        <v>0.18181818181818182</v>
      </c>
      <c r="AG2" s="7">
        <v>0.058823529411764705</v>
      </c>
      <c r="AH2" s="7">
        <v>0.058823529411764705</v>
      </c>
      <c r="AI2" s="7">
        <v>0.0</v>
      </c>
      <c r="AJ2" s="7">
        <v>0.0</v>
      </c>
      <c r="AK2" s="7">
        <v>0.0</v>
      </c>
      <c r="AL2" s="13"/>
      <c r="AM2" s="15" t="s">
        <v>77</v>
      </c>
      <c r="AN2" s="9">
        <v>3800.0</v>
      </c>
    </row>
    <row r="3">
      <c r="A3" s="4" t="s">
        <v>78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0.4375</v>
      </c>
      <c r="J3" s="7">
        <v>0.4375</v>
      </c>
      <c r="K3" s="7">
        <v>0.0</v>
      </c>
      <c r="L3" s="7">
        <v>0.5</v>
      </c>
      <c r="M3" s="7">
        <v>0.5</v>
      </c>
      <c r="N3" s="7">
        <v>0.0</v>
      </c>
      <c r="O3" s="7">
        <v>0.42857142857142855</v>
      </c>
      <c r="P3" s="7">
        <v>0.42857142857142855</v>
      </c>
      <c r="Q3" s="7">
        <v>0.0</v>
      </c>
      <c r="R3" s="7">
        <v>0.5</v>
      </c>
      <c r="S3" s="7">
        <v>0.5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0.2727272727272727</v>
      </c>
      <c r="AA3" s="7">
        <v>0.42857142857142855</v>
      </c>
      <c r="AB3" s="7">
        <v>0.42857142857142855</v>
      </c>
      <c r="AC3" s="7">
        <v>0.4444444444444444</v>
      </c>
      <c r="AD3" s="7">
        <v>0.5</v>
      </c>
      <c r="AE3" s="7">
        <v>0.5</v>
      </c>
      <c r="AF3" s="7">
        <v>0.2727272727272727</v>
      </c>
      <c r="AG3" s="7">
        <v>0.5294117647058824</v>
      </c>
      <c r="AH3" s="7">
        <v>0.5294117647058824</v>
      </c>
      <c r="AI3" s="7">
        <v>0.0</v>
      </c>
      <c r="AJ3" s="7">
        <v>0.0</v>
      </c>
      <c r="AK3" s="7">
        <v>0.0</v>
      </c>
      <c r="AL3" s="13"/>
      <c r="AM3" s="14" t="s">
        <v>78</v>
      </c>
      <c r="AN3" s="9">
        <v>1000.0</v>
      </c>
    </row>
    <row r="4">
      <c r="A4" s="4" t="s">
        <v>79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0.0625</v>
      </c>
      <c r="J4" s="7">
        <v>0.0625</v>
      </c>
      <c r="K4" s="7">
        <v>0.0</v>
      </c>
      <c r="L4" s="7">
        <v>0.0625</v>
      </c>
      <c r="M4" s="7">
        <v>0.0625</v>
      </c>
      <c r="N4" s="7">
        <v>0.0</v>
      </c>
      <c r="O4" s="7">
        <v>0.07142857142857142</v>
      </c>
      <c r="P4" s="7">
        <v>0.07142857142857142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0.07142857142857142</v>
      </c>
      <c r="AB4" s="7">
        <v>0.07142857142857142</v>
      </c>
      <c r="AC4" s="7">
        <v>0.0</v>
      </c>
      <c r="AD4" s="7">
        <v>0.0625</v>
      </c>
      <c r="AE4" s="7">
        <v>0.0625</v>
      </c>
      <c r="AF4" s="7">
        <v>0.0</v>
      </c>
      <c r="AG4" s="7">
        <v>0.058823529411764705</v>
      </c>
      <c r="AH4" s="7">
        <v>0.058823529411764705</v>
      </c>
      <c r="AI4" s="7">
        <v>0.0</v>
      </c>
      <c r="AJ4" s="7">
        <v>0.0</v>
      </c>
      <c r="AK4" s="7">
        <v>0.0</v>
      </c>
      <c r="AL4" s="13"/>
      <c r="AM4" s="14" t="s">
        <v>79</v>
      </c>
      <c r="AN4" s="9">
        <v>15000.0</v>
      </c>
    </row>
    <row r="5">
      <c r="A5" s="4" t="s">
        <v>80</v>
      </c>
      <c r="B5" s="7">
        <v>0.0</v>
      </c>
      <c r="C5" s="7">
        <v>0.14285714285714285</v>
      </c>
      <c r="D5" s="7">
        <v>0.14285714285714285</v>
      </c>
      <c r="E5" s="7">
        <v>0.0</v>
      </c>
      <c r="F5" s="7">
        <v>0.14285714285714285</v>
      </c>
      <c r="G5" s="7">
        <v>0.14285714285714285</v>
      </c>
      <c r="H5" s="7">
        <v>0.0</v>
      </c>
      <c r="I5" s="7">
        <v>0.0625</v>
      </c>
      <c r="J5" s="7">
        <v>0.0625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0.14285714285714285</v>
      </c>
      <c r="AK5" s="7">
        <v>0.14285714285714285</v>
      </c>
      <c r="AL5" s="13"/>
      <c r="AM5" s="14" t="s">
        <v>82</v>
      </c>
      <c r="AN5" s="9">
        <v>15000.0</v>
      </c>
    </row>
    <row r="6">
      <c r="A6" s="4" t="s">
        <v>63</v>
      </c>
      <c r="B6" s="7">
        <v>0.3333333333333333</v>
      </c>
      <c r="C6" s="7">
        <v>0.2857142857142857</v>
      </c>
      <c r="D6" s="7">
        <v>0.2857142857142857</v>
      </c>
      <c r="E6" s="7">
        <v>0.3333333333333333</v>
      </c>
      <c r="F6" s="7">
        <v>0.2857142857142857</v>
      </c>
      <c r="G6" s="7">
        <v>0.2857142857142857</v>
      </c>
      <c r="H6" s="7">
        <v>0.3333333333333333</v>
      </c>
      <c r="I6" s="7">
        <v>0.125</v>
      </c>
      <c r="J6" s="7">
        <v>0.125</v>
      </c>
      <c r="K6" s="7">
        <v>0.3333333333333333</v>
      </c>
      <c r="L6" s="7">
        <v>0.125</v>
      </c>
      <c r="M6" s="7">
        <v>0.125</v>
      </c>
      <c r="N6" s="7">
        <v>0.3333333333333333</v>
      </c>
      <c r="O6" s="7">
        <v>0.14285714285714285</v>
      </c>
      <c r="P6" s="7">
        <v>0.14285714285714285</v>
      </c>
      <c r="Q6" s="7">
        <v>0.3333333333333333</v>
      </c>
      <c r="R6" s="7">
        <v>0.14285714285714285</v>
      </c>
      <c r="S6" s="7">
        <v>0.14285714285714285</v>
      </c>
      <c r="T6" s="7">
        <v>0.3333333333333333</v>
      </c>
      <c r="U6" s="7">
        <v>0.3333333333333333</v>
      </c>
      <c r="V6" s="7">
        <v>0.3333333333333333</v>
      </c>
      <c r="W6" s="7">
        <v>0.3333333333333333</v>
      </c>
      <c r="X6" s="7">
        <v>0.3333333333333333</v>
      </c>
      <c r="Y6" s="7">
        <v>0.3333333333333333</v>
      </c>
      <c r="Z6" s="7">
        <v>0.18181818181818182</v>
      </c>
      <c r="AA6" s="7">
        <v>0.14285714285714285</v>
      </c>
      <c r="AB6" s="7">
        <v>0.14285714285714285</v>
      </c>
      <c r="AC6" s="7">
        <v>0.1111111111111111</v>
      </c>
      <c r="AD6" s="7">
        <v>0.125</v>
      </c>
      <c r="AE6" s="7">
        <v>0.125</v>
      </c>
      <c r="AF6" s="7">
        <v>0.18181818181818182</v>
      </c>
      <c r="AG6" s="7">
        <v>0.11764705882352941</v>
      </c>
      <c r="AH6" s="7">
        <v>0.11764705882352941</v>
      </c>
      <c r="AI6" s="7">
        <v>0.3333333333333333</v>
      </c>
      <c r="AJ6" s="7">
        <v>0.2857142857142857</v>
      </c>
      <c r="AK6" s="7">
        <v>0.2857142857142857</v>
      </c>
      <c r="AL6" s="13"/>
      <c r="AM6" s="4" t="s">
        <v>63</v>
      </c>
      <c r="AN6" s="9">
        <v>10.0</v>
      </c>
    </row>
    <row r="7">
      <c r="A7" s="4" t="s">
        <v>64</v>
      </c>
      <c r="B7" s="7">
        <v>0.16666666666666666</v>
      </c>
      <c r="C7" s="7">
        <v>0.14285714285714285</v>
      </c>
      <c r="D7" s="7">
        <v>0.14285714285714285</v>
      </c>
      <c r="E7" s="7">
        <v>0.16666666666666666</v>
      </c>
      <c r="F7" s="7">
        <v>0.14285714285714285</v>
      </c>
      <c r="G7" s="7">
        <v>0.14285714285714285</v>
      </c>
      <c r="H7" s="7">
        <v>0.16666666666666666</v>
      </c>
      <c r="I7" s="7">
        <v>0.0625</v>
      </c>
      <c r="J7" s="7">
        <v>0.0625</v>
      </c>
      <c r="K7" s="7">
        <v>0.16666666666666666</v>
      </c>
      <c r="L7" s="7">
        <v>0.0625</v>
      </c>
      <c r="M7" s="7">
        <v>0.0625</v>
      </c>
      <c r="N7" s="7">
        <v>0.16666666666666666</v>
      </c>
      <c r="O7" s="7">
        <v>0.07142857142857142</v>
      </c>
      <c r="P7" s="7">
        <v>0.07142857142857142</v>
      </c>
      <c r="Q7" s="7">
        <v>0.16666666666666666</v>
      </c>
      <c r="R7" s="7">
        <v>0.07142857142857142</v>
      </c>
      <c r="S7" s="7">
        <v>0.07142857142857142</v>
      </c>
      <c r="T7" s="7">
        <v>0.16666666666666666</v>
      </c>
      <c r="U7" s="7">
        <v>0.16666666666666666</v>
      </c>
      <c r="V7" s="7">
        <v>0.16666666666666666</v>
      </c>
      <c r="W7" s="7">
        <v>0.16666666666666666</v>
      </c>
      <c r="X7" s="7">
        <v>0.16666666666666666</v>
      </c>
      <c r="Y7" s="7">
        <v>0.16666666666666666</v>
      </c>
      <c r="Z7" s="7">
        <v>0.09090909090909091</v>
      </c>
      <c r="AA7" s="7">
        <v>0.07142857142857142</v>
      </c>
      <c r="AB7" s="7">
        <v>0.07142857142857142</v>
      </c>
      <c r="AC7" s="7">
        <v>0.05555555555555555</v>
      </c>
      <c r="AD7" s="7">
        <v>0.0625</v>
      </c>
      <c r="AE7" s="7">
        <v>0.0625</v>
      </c>
      <c r="AF7" s="7">
        <v>0.09090909090909091</v>
      </c>
      <c r="AG7" s="7">
        <v>0.058823529411764705</v>
      </c>
      <c r="AH7" s="7">
        <v>0.058823529411764705</v>
      </c>
      <c r="AI7" s="7">
        <v>0.16666666666666666</v>
      </c>
      <c r="AJ7" s="7">
        <v>0.14285714285714285</v>
      </c>
      <c r="AK7" s="7">
        <v>0.14285714285714285</v>
      </c>
      <c r="AL7" s="13"/>
      <c r="AM7" s="4" t="s">
        <v>64</v>
      </c>
      <c r="AN7" s="9">
        <v>10.0</v>
      </c>
    </row>
    <row r="8">
      <c r="A8" s="4" t="s">
        <v>65</v>
      </c>
      <c r="B8" s="7">
        <v>0.16666666666666666</v>
      </c>
      <c r="C8" s="7">
        <v>0.14285714285714285</v>
      </c>
      <c r="D8" s="7">
        <v>0.14285714285714285</v>
      </c>
      <c r="E8" s="7">
        <v>0.16666666666666666</v>
      </c>
      <c r="F8" s="7">
        <v>0.14285714285714285</v>
      </c>
      <c r="G8" s="7">
        <v>0.14285714285714285</v>
      </c>
      <c r="H8" s="7">
        <v>0.16666666666666666</v>
      </c>
      <c r="I8" s="7">
        <v>0.0625</v>
      </c>
      <c r="J8" s="7">
        <v>0.0625</v>
      </c>
      <c r="K8" s="7">
        <v>0.16666666666666666</v>
      </c>
      <c r="L8" s="7">
        <v>0.0625</v>
      </c>
      <c r="M8" s="7">
        <v>0.0625</v>
      </c>
      <c r="N8" s="7">
        <v>0.16666666666666666</v>
      </c>
      <c r="O8" s="7">
        <v>0.07142857142857142</v>
      </c>
      <c r="P8" s="7">
        <v>0.07142857142857142</v>
      </c>
      <c r="Q8" s="7">
        <v>0.16666666666666666</v>
      </c>
      <c r="R8" s="7">
        <v>0.07142857142857142</v>
      </c>
      <c r="S8" s="7">
        <v>0.07142857142857142</v>
      </c>
      <c r="T8" s="7">
        <v>0.16666666666666666</v>
      </c>
      <c r="U8" s="7">
        <v>0.16666666666666666</v>
      </c>
      <c r="V8" s="7">
        <v>0.16666666666666666</v>
      </c>
      <c r="W8" s="7">
        <v>0.16666666666666666</v>
      </c>
      <c r="X8" s="7">
        <v>0.16666666666666666</v>
      </c>
      <c r="Y8" s="7">
        <v>0.16666666666666666</v>
      </c>
      <c r="Z8" s="7">
        <v>0.09090909090909091</v>
      </c>
      <c r="AA8" s="7">
        <v>0.07142857142857142</v>
      </c>
      <c r="AB8" s="7">
        <v>0.07142857142857142</v>
      </c>
      <c r="AC8" s="7">
        <v>0.05555555555555555</v>
      </c>
      <c r="AD8" s="7">
        <v>0.0625</v>
      </c>
      <c r="AE8" s="7">
        <v>0.0625</v>
      </c>
      <c r="AF8" s="7">
        <v>0.09090909090909091</v>
      </c>
      <c r="AG8" s="7">
        <v>0.058823529411764705</v>
      </c>
      <c r="AH8" s="7">
        <v>0.058823529411764705</v>
      </c>
      <c r="AI8" s="7">
        <v>0.16666666666666666</v>
      </c>
      <c r="AJ8" s="7">
        <v>0.14285714285714285</v>
      </c>
      <c r="AK8" s="7">
        <v>0.14285714285714285</v>
      </c>
      <c r="AL8" s="13"/>
      <c r="AM8" s="4" t="s">
        <v>65</v>
      </c>
      <c r="AN8" s="9">
        <v>10.0</v>
      </c>
    </row>
    <row r="9">
      <c r="A9" s="4" t="s">
        <v>66</v>
      </c>
      <c r="B9" s="7">
        <v>0.3333333333333333</v>
      </c>
      <c r="C9" s="7">
        <v>0.2857142857142857</v>
      </c>
      <c r="D9" s="7">
        <v>0.2857142857142857</v>
      </c>
      <c r="E9" s="7">
        <v>0.3333333333333333</v>
      </c>
      <c r="F9" s="7">
        <v>0.2857142857142857</v>
      </c>
      <c r="G9" s="7">
        <v>0.2857142857142857</v>
      </c>
      <c r="H9" s="7">
        <v>0.3333333333333333</v>
      </c>
      <c r="I9" s="7">
        <v>0.125</v>
      </c>
      <c r="J9" s="7">
        <v>0.125</v>
      </c>
      <c r="K9" s="7">
        <v>0.3333333333333333</v>
      </c>
      <c r="L9" s="7">
        <v>0.125</v>
      </c>
      <c r="M9" s="7">
        <v>0.125</v>
      </c>
      <c r="N9" s="7">
        <v>0.3333333333333333</v>
      </c>
      <c r="O9" s="7">
        <v>0.14285714285714285</v>
      </c>
      <c r="P9" s="7">
        <v>0.14285714285714285</v>
      </c>
      <c r="Q9" s="7">
        <v>0.3333333333333333</v>
      </c>
      <c r="R9" s="7">
        <v>0.14285714285714285</v>
      </c>
      <c r="S9" s="7">
        <v>0.14285714285714285</v>
      </c>
      <c r="T9" s="7">
        <v>0.3333333333333333</v>
      </c>
      <c r="U9" s="7">
        <v>0.3333333333333333</v>
      </c>
      <c r="V9" s="7">
        <v>0.3333333333333333</v>
      </c>
      <c r="W9" s="7">
        <v>0.3333333333333333</v>
      </c>
      <c r="X9" s="7">
        <v>0.3333333333333333</v>
      </c>
      <c r="Y9" s="7">
        <v>0.3333333333333333</v>
      </c>
      <c r="Z9" s="7">
        <v>0.18181818181818182</v>
      </c>
      <c r="AA9" s="7">
        <v>0.14285714285714285</v>
      </c>
      <c r="AB9" s="7">
        <v>0.14285714285714285</v>
      </c>
      <c r="AC9" s="7">
        <v>0.1111111111111111</v>
      </c>
      <c r="AD9" s="7">
        <v>0.125</v>
      </c>
      <c r="AE9" s="7">
        <v>0.125</v>
      </c>
      <c r="AF9" s="7">
        <v>0.18181818181818182</v>
      </c>
      <c r="AG9" s="7">
        <v>0.11764705882352941</v>
      </c>
      <c r="AH9" s="7">
        <v>0.11764705882352941</v>
      </c>
      <c r="AI9" s="7">
        <v>0.3333333333333333</v>
      </c>
      <c r="AJ9" s="7">
        <v>0.2857142857142857</v>
      </c>
      <c r="AK9" s="7">
        <v>0.2857142857142857</v>
      </c>
      <c r="AL9" s="13"/>
      <c r="AM9" s="4" t="s">
        <v>66</v>
      </c>
      <c r="AN9" s="9">
        <v>10.0</v>
      </c>
    </row>
    <row r="10">
      <c r="A10" s="6"/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77</v>
      </c>
      <c r="B2" s="7">
        <f t="array" ref="B2:AK9">N('Cliff Top (Adjusted)'!B2:AK9) * N('Cliff Top (Adjusted)'!AN2:AN9)
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237.5</v>
      </c>
      <c r="J2" s="7">
        <v>237.5</v>
      </c>
      <c r="K2" s="7">
        <v>0.0</v>
      </c>
      <c r="L2" s="7">
        <v>237.5</v>
      </c>
      <c r="M2" s="7">
        <v>237.5</v>
      </c>
      <c r="N2" s="7">
        <v>0.0</v>
      </c>
      <c r="O2" s="7">
        <v>271.4285714285714</v>
      </c>
      <c r="P2" s="7">
        <v>271.4285714285714</v>
      </c>
      <c r="Q2" s="7">
        <v>0.0</v>
      </c>
      <c r="R2" s="7">
        <v>271.4285714285714</v>
      </c>
      <c r="S2" s="7">
        <v>271.4285714285714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690.9090909090909</v>
      </c>
      <c r="AA2" s="7">
        <v>271.4285714285714</v>
      </c>
      <c r="AB2" s="7">
        <v>271.4285714285714</v>
      </c>
      <c r="AC2" s="7">
        <v>844.4444444444443</v>
      </c>
      <c r="AD2" s="7">
        <v>237.5</v>
      </c>
      <c r="AE2" s="7">
        <v>237.5</v>
      </c>
      <c r="AF2" s="7">
        <v>690.9090909090909</v>
      </c>
      <c r="AG2" s="7">
        <v>223.52941176470588</v>
      </c>
      <c r="AH2" s="7">
        <v>223.52941176470588</v>
      </c>
      <c r="AI2" s="7">
        <v>0.0</v>
      </c>
      <c r="AJ2" s="7">
        <v>0.0</v>
      </c>
      <c r="AK2" s="7">
        <v>0.0</v>
      </c>
    </row>
    <row r="3">
      <c r="A3" s="4" t="s">
        <v>78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437.5</v>
      </c>
      <c r="J3" s="7">
        <v>437.5</v>
      </c>
      <c r="K3" s="7">
        <v>0.0</v>
      </c>
      <c r="L3" s="7">
        <v>500.0</v>
      </c>
      <c r="M3" s="7">
        <v>500.0</v>
      </c>
      <c r="N3" s="7">
        <v>0.0</v>
      </c>
      <c r="O3" s="7">
        <v>428.57142857142856</v>
      </c>
      <c r="P3" s="7">
        <v>428.57142857142856</v>
      </c>
      <c r="Q3" s="7">
        <v>0.0</v>
      </c>
      <c r="R3" s="7">
        <v>500.0</v>
      </c>
      <c r="S3" s="7">
        <v>500.0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272.7272727272727</v>
      </c>
      <c r="AA3" s="7">
        <v>428.57142857142856</v>
      </c>
      <c r="AB3" s="7">
        <v>428.57142857142856</v>
      </c>
      <c r="AC3" s="7">
        <v>444.4444444444444</v>
      </c>
      <c r="AD3" s="7">
        <v>500.0</v>
      </c>
      <c r="AE3" s="7">
        <v>500.0</v>
      </c>
      <c r="AF3" s="7">
        <v>272.7272727272727</v>
      </c>
      <c r="AG3" s="7">
        <v>529.4117647058823</v>
      </c>
      <c r="AH3" s="7">
        <v>529.4117647058823</v>
      </c>
      <c r="AI3" s="7">
        <v>0.0</v>
      </c>
      <c r="AJ3" s="7">
        <v>0.0</v>
      </c>
      <c r="AK3" s="7">
        <v>0.0</v>
      </c>
    </row>
    <row r="4">
      <c r="A4" s="4" t="s">
        <v>79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937.5</v>
      </c>
      <c r="J4" s="7">
        <v>937.5</v>
      </c>
      <c r="K4" s="7">
        <v>0.0</v>
      </c>
      <c r="L4" s="7">
        <v>937.5</v>
      </c>
      <c r="M4" s="7">
        <v>937.5</v>
      </c>
      <c r="N4" s="7">
        <v>0.0</v>
      </c>
      <c r="O4" s="7">
        <v>1071.4285714285713</v>
      </c>
      <c r="P4" s="7">
        <v>1071.4285714285713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1071.4285714285713</v>
      </c>
      <c r="AB4" s="7">
        <v>1071.4285714285713</v>
      </c>
      <c r="AC4" s="7">
        <v>0.0</v>
      </c>
      <c r="AD4" s="7">
        <v>937.5</v>
      </c>
      <c r="AE4" s="7">
        <v>937.5</v>
      </c>
      <c r="AF4" s="7">
        <v>0.0</v>
      </c>
      <c r="AG4" s="7">
        <v>882.3529411764706</v>
      </c>
      <c r="AH4" s="7">
        <v>882.3529411764706</v>
      </c>
      <c r="AI4" s="7">
        <v>0.0</v>
      </c>
      <c r="AJ4" s="7">
        <v>0.0</v>
      </c>
      <c r="AK4" s="7">
        <v>0.0</v>
      </c>
    </row>
    <row r="5">
      <c r="A5" s="4" t="s">
        <v>80</v>
      </c>
      <c r="B5" s="7">
        <v>0.0</v>
      </c>
      <c r="C5" s="7">
        <v>2142.8571428571427</v>
      </c>
      <c r="D5" s="7">
        <v>2142.8571428571427</v>
      </c>
      <c r="E5" s="7">
        <v>0.0</v>
      </c>
      <c r="F5" s="7">
        <v>2142.8571428571427</v>
      </c>
      <c r="G5" s="7">
        <v>2142.8571428571427</v>
      </c>
      <c r="H5" s="7">
        <v>0.0</v>
      </c>
      <c r="I5" s="7">
        <v>937.5</v>
      </c>
      <c r="J5" s="7">
        <v>937.5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2142.8571428571427</v>
      </c>
      <c r="AK5" s="7">
        <v>2142.8571428571427</v>
      </c>
    </row>
    <row r="6">
      <c r="A6" s="4" t="s">
        <v>63</v>
      </c>
      <c r="B6" s="7">
        <v>3.333333333333333</v>
      </c>
      <c r="C6" s="7">
        <v>2.8571428571428568</v>
      </c>
      <c r="D6" s="7">
        <v>2.8571428571428568</v>
      </c>
      <c r="E6" s="7">
        <v>3.333333333333333</v>
      </c>
      <c r="F6" s="7">
        <v>2.8571428571428568</v>
      </c>
      <c r="G6" s="7">
        <v>2.8571428571428568</v>
      </c>
      <c r="H6" s="7">
        <v>3.333333333333333</v>
      </c>
      <c r="I6" s="7">
        <v>1.25</v>
      </c>
      <c r="J6" s="7">
        <v>1.25</v>
      </c>
      <c r="K6" s="7">
        <v>3.333333333333333</v>
      </c>
      <c r="L6" s="7">
        <v>1.25</v>
      </c>
      <c r="M6" s="7">
        <v>1.25</v>
      </c>
      <c r="N6" s="7">
        <v>3.333333333333333</v>
      </c>
      <c r="O6" s="7">
        <v>1.4285714285714284</v>
      </c>
      <c r="P6" s="7">
        <v>1.4285714285714284</v>
      </c>
      <c r="Q6" s="7">
        <v>3.333333333333333</v>
      </c>
      <c r="R6" s="7">
        <v>1.4285714285714284</v>
      </c>
      <c r="S6" s="7">
        <v>1.4285714285714284</v>
      </c>
      <c r="T6" s="7">
        <v>3.333333333333333</v>
      </c>
      <c r="U6" s="7">
        <v>3.333333333333333</v>
      </c>
      <c r="V6" s="7">
        <v>3.333333333333333</v>
      </c>
      <c r="W6" s="7">
        <v>3.333333333333333</v>
      </c>
      <c r="X6" s="7">
        <v>3.333333333333333</v>
      </c>
      <c r="Y6" s="7">
        <v>3.333333333333333</v>
      </c>
      <c r="Z6" s="7">
        <v>1.8181818181818183</v>
      </c>
      <c r="AA6" s="7">
        <v>1.4285714285714284</v>
      </c>
      <c r="AB6" s="7">
        <v>1.4285714285714284</v>
      </c>
      <c r="AC6" s="7">
        <v>1.1111111111111112</v>
      </c>
      <c r="AD6" s="7">
        <v>1.25</v>
      </c>
      <c r="AE6" s="7">
        <v>1.25</v>
      </c>
      <c r="AF6" s="7">
        <v>1.8181818181818183</v>
      </c>
      <c r="AG6" s="7">
        <v>1.1764705882352942</v>
      </c>
      <c r="AH6" s="7">
        <v>1.1764705882352942</v>
      </c>
      <c r="AI6" s="7">
        <v>3.333333333333333</v>
      </c>
      <c r="AJ6" s="7">
        <v>2.8571428571428568</v>
      </c>
      <c r="AK6" s="7">
        <v>2.8571428571428568</v>
      </c>
    </row>
    <row r="7">
      <c r="A7" s="4" t="s">
        <v>64</v>
      </c>
      <c r="B7" s="7">
        <v>1.6666666666666665</v>
      </c>
      <c r="C7" s="7">
        <v>1.4285714285714284</v>
      </c>
      <c r="D7" s="7">
        <v>1.4285714285714284</v>
      </c>
      <c r="E7" s="7">
        <v>1.6666666666666665</v>
      </c>
      <c r="F7" s="7">
        <v>1.4285714285714284</v>
      </c>
      <c r="G7" s="7">
        <v>1.4285714285714284</v>
      </c>
      <c r="H7" s="7">
        <v>1.6666666666666665</v>
      </c>
      <c r="I7" s="7">
        <v>0.625</v>
      </c>
      <c r="J7" s="7">
        <v>0.625</v>
      </c>
      <c r="K7" s="7">
        <v>1.6666666666666665</v>
      </c>
      <c r="L7" s="7">
        <v>0.625</v>
      </c>
      <c r="M7" s="7">
        <v>0.625</v>
      </c>
      <c r="N7" s="7">
        <v>1.6666666666666665</v>
      </c>
      <c r="O7" s="7">
        <v>0.7142857142857142</v>
      </c>
      <c r="P7" s="7">
        <v>0.7142857142857142</v>
      </c>
      <c r="Q7" s="7">
        <v>1.6666666666666665</v>
      </c>
      <c r="R7" s="7">
        <v>0.7142857142857142</v>
      </c>
      <c r="S7" s="7">
        <v>0.7142857142857142</v>
      </c>
      <c r="T7" s="7">
        <v>1.6666666666666665</v>
      </c>
      <c r="U7" s="7">
        <v>1.6666666666666665</v>
      </c>
      <c r="V7" s="7">
        <v>1.6666666666666665</v>
      </c>
      <c r="W7" s="7">
        <v>1.6666666666666665</v>
      </c>
      <c r="X7" s="7">
        <v>1.6666666666666665</v>
      </c>
      <c r="Y7" s="7">
        <v>1.6666666666666665</v>
      </c>
      <c r="Z7" s="7">
        <v>0.9090909090909092</v>
      </c>
      <c r="AA7" s="7">
        <v>0.7142857142857142</v>
      </c>
      <c r="AB7" s="7">
        <v>0.7142857142857142</v>
      </c>
      <c r="AC7" s="7">
        <v>0.5555555555555556</v>
      </c>
      <c r="AD7" s="7">
        <v>0.625</v>
      </c>
      <c r="AE7" s="7">
        <v>0.625</v>
      </c>
      <c r="AF7" s="7">
        <v>0.9090909090909092</v>
      </c>
      <c r="AG7" s="7">
        <v>0.5882352941176471</v>
      </c>
      <c r="AH7" s="7">
        <v>0.5882352941176471</v>
      </c>
      <c r="AI7" s="7">
        <v>1.6666666666666665</v>
      </c>
      <c r="AJ7" s="7">
        <v>1.4285714285714284</v>
      </c>
      <c r="AK7" s="7">
        <v>1.4285714285714284</v>
      </c>
    </row>
    <row r="8">
      <c r="A8" s="4" t="s">
        <v>65</v>
      </c>
      <c r="B8" s="7">
        <v>1.6666666666666665</v>
      </c>
      <c r="C8" s="7">
        <v>1.4285714285714284</v>
      </c>
      <c r="D8" s="7">
        <v>1.4285714285714284</v>
      </c>
      <c r="E8" s="7">
        <v>1.6666666666666665</v>
      </c>
      <c r="F8" s="7">
        <v>1.4285714285714284</v>
      </c>
      <c r="G8" s="7">
        <v>1.4285714285714284</v>
      </c>
      <c r="H8" s="7">
        <v>1.6666666666666665</v>
      </c>
      <c r="I8" s="7">
        <v>0.625</v>
      </c>
      <c r="J8" s="7">
        <v>0.625</v>
      </c>
      <c r="K8" s="7">
        <v>1.6666666666666665</v>
      </c>
      <c r="L8" s="7">
        <v>0.625</v>
      </c>
      <c r="M8" s="7">
        <v>0.625</v>
      </c>
      <c r="N8" s="7">
        <v>1.6666666666666665</v>
      </c>
      <c r="O8" s="7">
        <v>0.7142857142857142</v>
      </c>
      <c r="P8" s="7">
        <v>0.7142857142857142</v>
      </c>
      <c r="Q8" s="7">
        <v>1.6666666666666665</v>
      </c>
      <c r="R8" s="7">
        <v>0.7142857142857142</v>
      </c>
      <c r="S8" s="7">
        <v>0.7142857142857142</v>
      </c>
      <c r="T8" s="7">
        <v>1.6666666666666665</v>
      </c>
      <c r="U8" s="7">
        <v>1.6666666666666665</v>
      </c>
      <c r="V8" s="7">
        <v>1.6666666666666665</v>
      </c>
      <c r="W8" s="7">
        <v>1.6666666666666665</v>
      </c>
      <c r="X8" s="7">
        <v>1.6666666666666665</v>
      </c>
      <c r="Y8" s="7">
        <v>1.6666666666666665</v>
      </c>
      <c r="Z8" s="7">
        <v>0.9090909090909092</v>
      </c>
      <c r="AA8" s="7">
        <v>0.7142857142857142</v>
      </c>
      <c r="AB8" s="7">
        <v>0.7142857142857142</v>
      </c>
      <c r="AC8" s="7">
        <v>0.5555555555555556</v>
      </c>
      <c r="AD8" s="7">
        <v>0.625</v>
      </c>
      <c r="AE8" s="7">
        <v>0.625</v>
      </c>
      <c r="AF8" s="7">
        <v>0.9090909090909092</v>
      </c>
      <c r="AG8" s="7">
        <v>0.5882352941176471</v>
      </c>
      <c r="AH8" s="7">
        <v>0.5882352941176471</v>
      </c>
      <c r="AI8" s="7">
        <v>1.6666666666666665</v>
      </c>
      <c r="AJ8" s="7">
        <v>1.4285714285714284</v>
      </c>
      <c r="AK8" s="7">
        <v>1.4285714285714284</v>
      </c>
    </row>
    <row r="9">
      <c r="A9" s="4" t="s">
        <v>66</v>
      </c>
      <c r="B9" s="7">
        <v>3.333333333333333</v>
      </c>
      <c r="C9" s="7">
        <v>2.8571428571428568</v>
      </c>
      <c r="D9" s="7">
        <v>2.8571428571428568</v>
      </c>
      <c r="E9" s="7">
        <v>3.333333333333333</v>
      </c>
      <c r="F9" s="7">
        <v>2.8571428571428568</v>
      </c>
      <c r="G9" s="7">
        <v>2.8571428571428568</v>
      </c>
      <c r="H9" s="7">
        <v>3.333333333333333</v>
      </c>
      <c r="I9" s="7">
        <v>1.25</v>
      </c>
      <c r="J9" s="7">
        <v>1.25</v>
      </c>
      <c r="K9" s="7">
        <v>3.333333333333333</v>
      </c>
      <c r="L9" s="7">
        <v>1.25</v>
      </c>
      <c r="M9" s="7">
        <v>1.25</v>
      </c>
      <c r="N9" s="7">
        <v>3.333333333333333</v>
      </c>
      <c r="O9" s="7">
        <v>1.4285714285714284</v>
      </c>
      <c r="P9" s="7">
        <v>1.4285714285714284</v>
      </c>
      <c r="Q9" s="7">
        <v>3.333333333333333</v>
      </c>
      <c r="R9" s="7">
        <v>1.4285714285714284</v>
      </c>
      <c r="S9" s="7">
        <v>1.4285714285714284</v>
      </c>
      <c r="T9" s="7">
        <v>3.333333333333333</v>
      </c>
      <c r="U9" s="7">
        <v>3.333333333333333</v>
      </c>
      <c r="V9" s="7">
        <v>3.333333333333333</v>
      </c>
      <c r="W9" s="7">
        <v>3.333333333333333</v>
      </c>
      <c r="X9" s="7">
        <v>3.333333333333333</v>
      </c>
      <c r="Y9" s="7">
        <v>3.333333333333333</v>
      </c>
      <c r="Z9" s="7">
        <v>1.8181818181818183</v>
      </c>
      <c r="AA9" s="7">
        <v>1.4285714285714284</v>
      </c>
      <c r="AB9" s="7">
        <v>1.4285714285714284</v>
      </c>
      <c r="AC9" s="7">
        <v>1.1111111111111112</v>
      </c>
      <c r="AD9" s="7">
        <v>1.25</v>
      </c>
      <c r="AE9" s="7">
        <v>1.25</v>
      </c>
      <c r="AF9" s="7">
        <v>1.8181818181818183</v>
      </c>
      <c r="AG9" s="7">
        <v>1.1764705882352942</v>
      </c>
      <c r="AH9" s="7">
        <v>1.1764705882352942</v>
      </c>
      <c r="AI9" s="7">
        <v>3.333333333333333</v>
      </c>
      <c r="AJ9" s="7">
        <v>2.8571428571428568</v>
      </c>
      <c r="AK9" s="7">
        <v>2.8571428571428568</v>
      </c>
    </row>
    <row r="10">
      <c r="A10" s="16" t="s">
        <v>76</v>
      </c>
      <c r="B10" s="17">
        <f t="shared" ref="B10:AK10" si="1">SUM(B2:B9)</f>
        <v>10</v>
      </c>
      <c r="C10" s="17">
        <f t="shared" si="1"/>
        <v>2151.428571</v>
      </c>
      <c r="D10" s="17">
        <f t="shared" si="1"/>
        <v>2151.428571</v>
      </c>
      <c r="E10" s="17">
        <f t="shared" si="1"/>
        <v>10</v>
      </c>
      <c r="F10" s="17">
        <f t="shared" si="1"/>
        <v>2151.428571</v>
      </c>
      <c r="G10" s="17">
        <f t="shared" si="1"/>
        <v>2151.428571</v>
      </c>
      <c r="H10" s="17">
        <f t="shared" si="1"/>
        <v>10</v>
      </c>
      <c r="I10" s="17">
        <f t="shared" si="1"/>
        <v>2553.75</v>
      </c>
      <c r="J10" s="17">
        <f t="shared" si="1"/>
        <v>2553.75</v>
      </c>
      <c r="K10" s="17">
        <f t="shared" si="1"/>
        <v>10</v>
      </c>
      <c r="L10" s="17">
        <f t="shared" si="1"/>
        <v>1678.75</v>
      </c>
      <c r="M10" s="17">
        <f t="shared" si="1"/>
        <v>1678.75</v>
      </c>
      <c r="N10" s="17">
        <f t="shared" si="1"/>
        <v>10</v>
      </c>
      <c r="O10" s="17">
        <f t="shared" si="1"/>
        <v>1775.714286</v>
      </c>
      <c r="P10" s="17">
        <f t="shared" si="1"/>
        <v>1775.714286</v>
      </c>
      <c r="Q10" s="17">
        <f t="shared" si="1"/>
        <v>10</v>
      </c>
      <c r="R10" s="17">
        <f t="shared" si="1"/>
        <v>775.7142857</v>
      </c>
      <c r="S10" s="17">
        <f t="shared" si="1"/>
        <v>775.7142857</v>
      </c>
      <c r="T10" s="17">
        <f t="shared" si="1"/>
        <v>10</v>
      </c>
      <c r="U10" s="17">
        <f t="shared" si="1"/>
        <v>10</v>
      </c>
      <c r="V10" s="17">
        <f t="shared" si="1"/>
        <v>10</v>
      </c>
      <c r="W10" s="17">
        <f t="shared" si="1"/>
        <v>10</v>
      </c>
      <c r="X10" s="17">
        <f t="shared" si="1"/>
        <v>10</v>
      </c>
      <c r="Y10" s="17">
        <f t="shared" si="1"/>
        <v>10</v>
      </c>
      <c r="Z10" s="17">
        <f t="shared" si="1"/>
        <v>969.0909091</v>
      </c>
      <c r="AA10" s="17">
        <f t="shared" si="1"/>
        <v>1775.714286</v>
      </c>
      <c r="AB10" s="17">
        <f t="shared" si="1"/>
        <v>1775.714286</v>
      </c>
      <c r="AC10" s="17">
        <f t="shared" si="1"/>
        <v>1292.222222</v>
      </c>
      <c r="AD10" s="17">
        <f t="shared" si="1"/>
        <v>1678.75</v>
      </c>
      <c r="AE10" s="17">
        <f t="shared" si="1"/>
        <v>1678.75</v>
      </c>
      <c r="AF10" s="17">
        <f t="shared" si="1"/>
        <v>969.0909091</v>
      </c>
      <c r="AG10" s="17">
        <f t="shared" si="1"/>
        <v>1638.823529</v>
      </c>
      <c r="AH10" s="17">
        <f t="shared" si="1"/>
        <v>1638.823529</v>
      </c>
      <c r="AI10" s="17">
        <f t="shared" si="1"/>
        <v>10</v>
      </c>
      <c r="AJ10" s="17">
        <f t="shared" si="1"/>
        <v>2151.428571</v>
      </c>
      <c r="AK10" s="17">
        <f t="shared" si="1"/>
        <v>2151.428571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84</v>
      </c>
      <c r="B2" s="12">
        <v>0.0</v>
      </c>
      <c r="C2" s="12">
        <v>0.0</v>
      </c>
      <c r="D2" s="12">
        <v>0.0</v>
      </c>
      <c r="E2" s="12">
        <v>0.0</v>
      </c>
      <c r="F2" s="12">
        <v>0.0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  <c r="X2" s="12">
        <v>0.0</v>
      </c>
      <c r="Y2" s="12">
        <v>0.0</v>
      </c>
      <c r="Z2" s="3">
        <v>5.0</v>
      </c>
      <c r="AA2" s="3">
        <v>5.0</v>
      </c>
      <c r="AB2" s="3">
        <v>5.0</v>
      </c>
      <c r="AC2" s="12">
        <v>0.0</v>
      </c>
      <c r="AD2" s="12">
        <v>0.0</v>
      </c>
      <c r="AE2" s="12">
        <v>0.0</v>
      </c>
      <c r="AF2" s="12">
        <v>0.0</v>
      </c>
      <c r="AG2" s="12">
        <v>0.0</v>
      </c>
      <c r="AH2" s="12">
        <v>0.0</v>
      </c>
      <c r="AI2" s="12">
        <v>0.0</v>
      </c>
      <c r="AJ2" s="12">
        <v>0.0</v>
      </c>
      <c r="AK2" s="12">
        <v>0.0</v>
      </c>
    </row>
    <row r="3">
      <c r="A3" s="1" t="s">
        <v>85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3">
        <v>20.0</v>
      </c>
      <c r="AA3" s="3">
        <v>20.0</v>
      </c>
      <c r="AB3" s="3">
        <v>20.0</v>
      </c>
      <c r="AC3" s="12">
        <v>0.0</v>
      </c>
      <c r="AD3" s="12">
        <v>0.0</v>
      </c>
      <c r="AE3" s="12">
        <v>0.0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1" t="s">
        <v>86</v>
      </c>
      <c r="B4" s="2">
        <v>2.0</v>
      </c>
      <c r="C4" s="2">
        <v>2.0</v>
      </c>
      <c r="D4" s="2">
        <v>2.0</v>
      </c>
      <c r="E4" s="2">
        <v>2.0</v>
      </c>
      <c r="F4" s="2">
        <v>2.0</v>
      </c>
      <c r="G4" s="2">
        <v>2.0</v>
      </c>
      <c r="H4" s="2">
        <v>1.0</v>
      </c>
      <c r="I4" s="2">
        <v>1.0</v>
      </c>
      <c r="J4" s="2">
        <v>1.0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2">
        <v>1.0</v>
      </c>
      <c r="AA4" s="2">
        <v>1.0</v>
      </c>
      <c r="AB4" s="2">
        <v>1.0</v>
      </c>
      <c r="AC4" s="2">
        <v>1.0</v>
      </c>
      <c r="AD4" s="2">
        <v>1.0</v>
      </c>
      <c r="AE4" s="2">
        <v>1.0</v>
      </c>
      <c r="AF4" s="3">
        <v>4.0</v>
      </c>
      <c r="AG4" s="3">
        <v>4.0</v>
      </c>
      <c r="AH4" s="3">
        <v>4.0</v>
      </c>
      <c r="AI4" s="2">
        <v>1.0</v>
      </c>
      <c r="AJ4" s="2">
        <v>1.0</v>
      </c>
      <c r="AK4" s="2">
        <v>1.0</v>
      </c>
    </row>
    <row r="5">
      <c r="A5" s="1" t="s">
        <v>63</v>
      </c>
      <c r="B5" s="3">
        <v>2.0</v>
      </c>
      <c r="C5" s="3">
        <v>2.0</v>
      </c>
      <c r="D5" s="3">
        <v>2.0</v>
      </c>
      <c r="E5" s="3">
        <v>2.0</v>
      </c>
      <c r="F5" s="3">
        <v>2.0</v>
      </c>
      <c r="G5" s="3">
        <v>2.0</v>
      </c>
      <c r="H5" s="3">
        <v>2.0</v>
      </c>
      <c r="I5" s="3">
        <v>2.0</v>
      </c>
      <c r="J5" s="3">
        <v>2.0</v>
      </c>
      <c r="K5" s="3">
        <v>2.0</v>
      </c>
      <c r="L5" s="3">
        <v>2.0</v>
      </c>
      <c r="M5" s="3">
        <v>2.0</v>
      </c>
      <c r="N5" s="3">
        <v>2.0</v>
      </c>
      <c r="O5" s="3">
        <v>2.0</v>
      </c>
      <c r="P5" s="3">
        <v>2.0</v>
      </c>
      <c r="Q5" s="3">
        <v>2.0</v>
      </c>
      <c r="R5" s="3">
        <v>2.0</v>
      </c>
      <c r="S5" s="3">
        <v>2.0</v>
      </c>
      <c r="T5" s="3">
        <v>2.0</v>
      </c>
      <c r="U5" s="3">
        <v>2.0</v>
      </c>
      <c r="V5" s="3">
        <v>2.0</v>
      </c>
      <c r="W5" s="3">
        <v>2.0</v>
      </c>
      <c r="X5" s="3">
        <v>2.0</v>
      </c>
      <c r="Y5" s="3">
        <v>2.0</v>
      </c>
      <c r="Z5" s="3">
        <v>2.0</v>
      </c>
      <c r="AA5" s="3">
        <v>2.0</v>
      </c>
      <c r="AB5" s="3">
        <v>2.0</v>
      </c>
      <c r="AC5" s="3">
        <v>2.0</v>
      </c>
      <c r="AD5" s="3">
        <v>2.0</v>
      </c>
      <c r="AE5" s="3">
        <v>2.0</v>
      </c>
      <c r="AF5" s="3">
        <v>2.0</v>
      </c>
      <c r="AG5" s="3">
        <v>2.0</v>
      </c>
      <c r="AH5" s="3">
        <v>2.0</v>
      </c>
      <c r="AI5" s="3">
        <v>2.0</v>
      </c>
      <c r="AJ5" s="3">
        <v>2.0</v>
      </c>
      <c r="AK5" s="3">
        <v>2.0</v>
      </c>
    </row>
    <row r="6">
      <c r="A6" s="1" t="s">
        <v>64</v>
      </c>
      <c r="B6" s="3">
        <v>1.0</v>
      </c>
      <c r="C6" s="3">
        <v>1.0</v>
      </c>
      <c r="D6" s="3">
        <v>1.0</v>
      </c>
      <c r="E6" s="3">
        <v>1.0</v>
      </c>
      <c r="F6" s="3">
        <v>1.0</v>
      </c>
      <c r="G6" s="3">
        <v>1.0</v>
      </c>
      <c r="H6" s="3">
        <v>1.0</v>
      </c>
      <c r="I6" s="3">
        <v>1.0</v>
      </c>
      <c r="J6" s="3">
        <v>1.0</v>
      </c>
      <c r="K6" s="3">
        <v>1.0</v>
      </c>
      <c r="L6" s="3">
        <v>1.0</v>
      </c>
      <c r="M6" s="3">
        <v>1.0</v>
      </c>
      <c r="N6" s="3">
        <v>1.0</v>
      </c>
      <c r="O6" s="3">
        <v>1.0</v>
      </c>
      <c r="P6" s="3">
        <v>1.0</v>
      </c>
      <c r="Q6" s="3">
        <v>1.0</v>
      </c>
      <c r="R6" s="3">
        <v>1.0</v>
      </c>
      <c r="S6" s="3">
        <v>1.0</v>
      </c>
      <c r="T6" s="3">
        <v>1.0</v>
      </c>
      <c r="U6" s="3">
        <v>1.0</v>
      </c>
      <c r="V6" s="3">
        <v>1.0</v>
      </c>
      <c r="W6" s="3">
        <v>1.0</v>
      </c>
      <c r="X6" s="3">
        <v>1.0</v>
      </c>
      <c r="Y6" s="3">
        <v>1.0</v>
      </c>
      <c r="Z6" s="3">
        <v>1.0</v>
      </c>
      <c r="AA6" s="3">
        <v>1.0</v>
      </c>
      <c r="AB6" s="3">
        <v>1.0</v>
      </c>
      <c r="AC6" s="3">
        <v>1.0</v>
      </c>
      <c r="AD6" s="3">
        <v>1.0</v>
      </c>
      <c r="AE6" s="3">
        <v>1.0</v>
      </c>
      <c r="AF6" s="3">
        <v>1.0</v>
      </c>
      <c r="AG6" s="3">
        <v>1.0</v>
      </c>
      <c r="AH6" s="3">
        <v>1.0</v>
      </c>
      <c r="AI6" s="3">
        <v>1.0</v>
      </c>
      <c r="AJ6" s="3">
        <v>1.0</v>
      </c>
      <c r="AK6" s="3">
        <v>1.0</v>
      </c>
    </row>
    <row r="7">
      <c r="A7" s="1" t="s">
        <v>65</v>
      </c>
      <c r="B7" s="3">
        <v>1.0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3">
        <v>1.0</v>
      </c>
      <c r="U7" s="3">
        <v>1.0</v>
      </c>
      <c r="V7" s="3">
        <v>1.0</v>
      </c>
      <c r="W7" s="3">
        <v>1.0</v>
      </c>
      <c r="X7" s="3">
        <v>1.0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1.0</v>
      </c>
      <c r="AE7" s="3">
        <v>1.0</v>
      </c>
      <c r="AF7" s="3">
        <v>1.0</v>
      </c>
      <c r="AG7" s="3">
        <v>1.0</v>
      </c>
      <c r="AH7" s="3">
        <v>1.0</v>
      </c>
      <c r="AI7" s="3">
        <v>1.0</v>
      </c>
      <c r="AJ7" s="3">
        <v>1.0</v>
      </c>
      <c r="AK7" s="3">
        <v>1.0</v>
      </c>
    </row>
    <row r="8">
      <c r="A8" s="1" t="s">
        <v>66</v>
      </c>
      <c r="B8" s="3">
        <v>2.0</v>
      </c>
      <c r="C8" s="3">
        <v>2.0</v>
      </c>
      <c r="D8" s="3">
        <v>2.0</v>
      </c>
      <c r="E8" s="3">
        <v>2.0</v>
      </c>
      <c r="F8" s="3">
        <v>2.0</v>
      </c>
      <c r="G8" s="3">
        <v>2.0</v>
      </c>
      <c r="H8" s="3">
        <v>2.0</v>
      </c>
      <c r="I8" s="3">
        <v>2.0</v>
      </c>
      <c r="J8" s="3">
        <v>2.0</v>
      </c>
      <c r="K8" s="3">
        <v>2.0</v>
      </c>
      <c r="L8" s="3">
        <v>2.0</v>
      </c>
      <c r="M8" s="3">
        <v>2.0</v>
      </c>
      <c r="N8" s="3">
        <v>2.0</v>
      </c>
      <c r="O8" s="3">
        <v>2.0</v>
      </c>
      <c r="P8" s="3">
        <v>2.0</v>
      </c>
      <c r="Q8" s="3">
        <v>2.0</v>
      </c>
      <c r="R8" s="3">
        <v>2.0</v>
      </c>
      <c r="S8" s="3">
        <v>2.0</v>
      </c>
      <c r="T8" s="3">
        <v>2.0</v>
      </c>
      <c r="U8" s="3">
        <v>2.0</v>
      </c>
      <c r="V8" s="3">
        <v>2.0</v>
      </c>
      <c r="W8" s="3">
        <v>2.0</v>
      </c>
      <c r="X8" s="3">
        <v>2.0</v>
      </c>
      <c r="Y8" s="3">
        <v>2.0</v>
      </c>
      <c r="Z8" s="3">
        <v>2.0</v>
      </c>
      <c r="AA8" s="3">
        <v>2.0</v>
      </c>
      <c r="AB8" s="3">
        <v>2.0</v>
      </c>
      <c r="AC8" s="3">
        <v>2.0</v>
      </c>
      <c r="AD8" s="3">
        <v>2.0</v>
      </c>
      <c r="AE8" s="3">
        <v>2.0</v>
      </c>
      <c r="AF8" s="3">
        <v>2.0</v>
      </c>
      <c r="AG8" s="3">
        <v>2.0</v>
      </c>
      <c r="AH8" s="3">
        <v>2.0</v>
      </c>
      <c r="AI8" s="3">
        <v>2.0</v>
      </c>
      <c r="AJ8" s="3">
        <v>2.0</v>
      </c>
      <c r="AK8" s="3">
        <v>2.0</v>
      </c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AJ53" s="2"/>
      <c r="AK53" s="2"/>
    </row>
    <row r="55">
      <c r="B55" s="1"/>
      <c r="C55" s="1"/>
      <c r="D55" s="1"/>
    </row>
    <row r="107">
      <c r="B107" s="2"/>
      <c r="C107" s="2"/>
      <c r="D107" s="2"/>
    </row>
  </sheetData>
  <conditionalFormatting sqref="B2:AK47">
    <cfRule type="cellIs" dxfId="0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5"/>
      <c r="AM1" s="18"/>
      <c r="AN1" s="18" t="s">
        <v>87</v>
      </c>
    </row>
    <row r="2">
      <c r="A2" s="4" t="s">
        <v>84</v>
      </c>
      <c r="B2" s="7">
        <f t="array" ref="B2:AK32">IF(
    'Mouth of River (Original Data)'!B2:AK32 = "",
    "",
    'Mouth of River (Original Data)'!B2:AK32 / (MMULT(TRANSPOSE(SIGN(ROW('Mouth of River (Original Data)'!B2:AK32))), N('Mouth of River (Original Data)'!B2:AK32)))
  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0.15625</v>
      </c>
      <c r="AA2" s="7">
        <v>0.15625</v>
      </c>
      <c r="AB2" s="7">
        <v>0.15625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M2" s="6" t="s">
        <v>88</v>
      </c>
      <c r="AN2" s="8">
        <v>1800.0</v>
      </c>
    </row>
    <row r="3">
      <c r="A3" s="4" t="s">
        <v>85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0.625</v>
      </c>
      <c r="AA3" s="7">
        <v>0.625</v>
      </c>
      <c r="AB3" s="7">
        <v>0.625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85</v>
      </c>
      <c r="AN3" s="8">
        <v>700.0</v>
      </c>
    </row>
    <row r="4">
      <c r="A4" s="4" t="s">
        <v>86</v>
      </c>
      <c r="B4" s="7">
        <v>0.25</v>
      </c>
      <c r="C4" s="7">
        <v>0.25</v>
      </c>
      <c r="D4" s="7">
        <v>0.25</v>
      </c>
      <c r="E4" s="7">
        <v>0.25</v>
      </c>
      <c r="F4" s="7">
        <v>0.25</v>
      </c>
      <c r="G4" s="7">
        <v>0.25</v>
      </c>
      <c r="H4" s="7">
        <v>0.14285714285714285</v>
      </c>
      <c r="I4" s="7">
        <v>0.14285714285714285</v>
      </c>
      <c r="J4" s="7">
        <v>0.14285714285714285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0.03125</v>
      </c>
      <c r="AA4" s="7">
        <v>0.03125</v>
      </c>
      <c r="AB4" s="7">
        <v>0.03125</v>
      </c>
      <c r="AC4" s="7">
        <v>0.14285714285714285</v>
      </c>
      <c r="AD4" s="7">
        <v>0.14285714285714285</v>
      </c>
      <c r="AE4" s="7">
        <v>0.14285714285714285</v>
      </c>
      <c r="AF4" s="7">
        <v>0.4</v>
      </c>
      <c r="AG4" s="7">
        <v>0.4</v>
      </c>
      <c r="AH4" s="7">
        <v>0.4</v>
      </c>
      <c r="AI4" s="7">
        <v>0.14285714285714285</v>
      </c>
      <c r="AJ4" s="7">
        <v>0.14285714285714285</v>
      </c>
      <c r="AK4" s="7">
        <v>0.14285714285714285</v>
      </c>
      <c r="AM4" s="6" t="s">
        <v>86</v>
      </c>
      <c r="AN4" s="8">
        <v>10000.0</v>
      </c>
    </row>
    <row r="5">
      <c r="A5" s="4" t="s">
        <v>63</v>
      </c>
      <c r="B5" s="7">
        <v>0.25</v>
      </c>
      <c r="C5" s="7">
        <v>0.25</v>
      </c>
      <c r="D5" s="7">
        <v>0.25</v>
      </c>
      <c r="E5" s="7">
        <v>0.25</v>
      </c>
      <c r="F5" s="7">
        <v>0.25</v>
      </c>
      <c r="G5" s="7">
        <v>0.25</v>
      </c>
      <c r="H5" s="7">
        <v>0.2857142857142857</v>
      </c>
      <c r="I5" s="7">
        <v>0.2857142857142857</v>
      </c>
      <c r="J5" s="7">
        <v>0.2857142857142857</v>
      </c>
      <c r="K5" s="7">
        <v>0.3333333333333333</v>
      </c>
      <c r="L5" s="7">
        <v>0.3333333333333333</v>
      </c>
      <c r="M5" s="7">
        <v>0.3333333333333333</v>
      </c>
      <c r="N5" s="7">
        <v>0.3333333333333333</v>
      </c>
      <c r="O5" s="7">
        <v>0.3333333333333333</v>
      </c>
      <c r="P5" s="7">
        <v>0.3333333333333333</v>
      </c>
      <c r="Q5" s="7">
        <v>0.3333333333333333</v>
      </c>
      <c r="R5" s="7">
        <v>0.3333333333333333</v>
      </c>
      <c r="S5" s="7">
        <v>0.3333333333333333</v>
      </c>
      <c r="T5" s="7">
        <v>0.3333333333333333</v>
      </c>
      <c r="U5" s="7">
        <v>0.3333333333333333</v>
      </c>
      <c r="V5" s="7">
        <v>0.3333333333333333</v>
      </c>
      <c r="W5" s="7">
        <v>0.3333333333333333</v>
      </c>
      <c r="X5" s="7">
        <v>0.3333333333333333</v>
      </c>
      <c r="Y5" s="7">
        <v>0.3333333333333333</v>
      </c>
      <c r="Z5" s="7">
        <v>0.0625</v>
      </c>
      <c r="AA5" s="7">
        <v>0.0625</v>
      </c>
      <c r="AB5" s="7">
        <v>0.0625</v>
      </c>
      <c r="AC5" s="7">
        <v>0.2857142857142857</v>
      </c>
      <c r="AD5" s="7">
        <v>0.2857142857142857</v>
      </c>
      <c r="AE5" s="7">
        <v>0.2857142857142857</v>
      </c>
      <c r="AF5" s="7">
        <v>0.2</v>
      </c>
      <c r="AG5" s="7">
        <v>0.2</v>
      </c>
      <c r="AH5" s="7">
        <v>0.2</v>
      </c>
      <c r="AI5" s="7">
        <v>0.2857142857142857</v>
      </c>
      <c r="AJ5" s="7">
        <v>0.2857142857142857</v>
      </c>
      <c r="AK5" s="7">
        <v>0.2857142857142857</v>
      </c>
      <c r="AM5" s="4" t="s">
        <v>63</v>
      </c>
      <c r="AN5" s="9">
        <v>10.0</v>
      </c>
    </row>
    <row r="6">
      <c r="A6" s="4" t="s">
        <v>64</v>
      </c>
      <c r="B6" s="7">
        <v>0.125</v>
      </c>
      <c r="C6" s="7">
        <v>0.125</v>
      </c>
      <c r="D6" s="7">
        <v>0.125</v>
      </c>
      <c r="E6" s="7">
        <v>0.125</v>
      </c>
      <c r="F6" s="7">
        <v>0.125</v>
      </c>
      <c r="G6" s="7">
        <v>0.125</v>
      </c>
      <c r="H6" s="7">
        <v>0.14285714285714285</v>
      </c>
      <c r="I6" s="7">
        <v>0.14285714285714285</v>
      </c>
      <c r="J6" s="7">
        <v>0.14285714285714285</v>
      </c>
      <c r="K6" s="7">
        <v>0.16666666666666666</v>
      </c>
      <c r="L6" s="7">
        <v>0.16666666666666666</v>
      </c>
      <c r="M6" s="7">
        <v>0.16666666666666666</v>
      </c>
      <c r="N6" s="7">
        <v>0.16666666666666666</v>
      </c>
      <c r="O6" s="7">
        <v>0.16666666666666666</v>
      </c>
      <c r="P6" s="7">
        <v>0.16666666666666666</v>
      </c>
      <c r="Q6" s="7">
        <v>0.16666666666666666</v>
      </c>
      <c r="R6" s="7">
        <v>0.16666666666666666</v>
      </c>
      <c r="S6" s="7">
        <v>0.16666666666666666</v>
      </c>
      <c r="T6" s="7">
        <v>0.16666666666666666</v>
      </c>
      <c r="U6" s="7">
        <v>0.16666666666666666</v>
      </c>
      <c r="V6" s="7">
        <v>0.16666666666666666</v>
      </c>
      <c r="W6" s="7">
        <v>0.16666666666666666</v>
      </c>
      <c r="X6" s="7">
        <v>0.16666666666666666</v>
      </c>
      <c r="Y6" s="7">
        <v>0.16666666666666666</v>
      </c>
      <c r="Z6" s="7">
        <v>0.03125</v>
      </c>
      <c r="AA6" s="7">
        <v>0.03125</v>
      </c>
      <c r="AB6" s="7">
        <v>0.03125</v>
      </c>
      <c r="AC6" s="7">
        <v>0.14285714285714285</v>
      </c>
      <c r="AD6" s="7">
        <v>0.14285714285714285</v>
      </c>
      <c r="AE6" s="7">
        <v>0.14285714285714285</v>
      </c>
      <c r="AF6" s="7">
        <v>0.1</v>
      </c>
      <c r="AG6" s="7">
        <v>0.1</v>
      </c>
      <c r="AH6" s="7">
        <v>0.1</v>
      </c>
      <c r="AI6" s="7">
        <v>0.14285714285714285</v>
      </c>
      <c r="AJ6" s="7">
        <v>0.14285714285714285</v>
      </c>
      <c r="AK6" s="7">
        <v>0.14285714285714285</v>
      </c>
      <c r="AM6" s="4" t="s">
        <v>64</v>
      </c>
      <c r="AN6" s="9">
        <v>10.0</v>
      </c>
    </row>
    <row r="7">
      <c r="A7" s="4" t="s">
        <v>65</v>
      </c>
      <c r="B7" s="7">
        <v>0.125</v>
      </c>
      <c r="C7" s="7">
        <v>0.125</v>
      </c>
      <c r="D7" s="7">
        <v>0.125</v>
      </c>
      <c r="E7" s="7">
        <v>0.125</v>
      </c>
      <c r="F7" s="7">
        <v>0.125</v>
      </c>
      <c r="G7" s="7">
        <v>0.125</v>
      </c>
      <c r="H7" s="7">
        <v>0.14285714285714285</v>
      </c>
      <c r="I7" s="7">
        <v>0.14285714285714285</v>
      </c>
      <c r="J7" s="7">
        <v>0.14285714285714285</v>
      </c>
      <c r="K7" s="7">
        <v>0.16666666666666666</v>
      </c>
      <c r="L7" s="7">
        <v>0.16666666666666666</v>
      </c>
      <c r="M7" s="7">
        <v>0.16666666666666666</v>
      </c>
      <c r="N7" s="7">
        <v>0.16666666666666666</v>
      </c>
      <c r="O7" s="7">
        <v>0.16666666666666666</v>
      </c>
      <c r="P7" s="7">
        <v>0.16666666666666666</v>
      </c>
      <c r="Q7" s="7">
        <v>0.16666666666666666</v>
      </c>
      <c r="R7" s="7">
        <v>0.16666666666666666</v>
      </c>
      <c r="S7" s="7">
        <v>0.16666666666666666</v>
      </c>
      <c r="T7" s="7">
        <v>0.16666666666666666</v>
      </c>
      <c r="U7" s="7">
        <v>0.16666666666666666</v>
      </c>
      <c r="V7" s="7">
        <v>0.16666666666666666</v>
      </c>
      <c r="W7" s="7">
        <v>0.16666666666666666</v>
      </c>
      <c r="X7" s="7">
        <v>0.16666666666666666</v>
      </c>
      <c r="Y7" s="7">
        <v>0.16666666666666666</v>
      </c>
      <c r="Z7" s="7">
        <v>0.03125</v>
      </c>
      <c r="AA7" s="7">
        <v>0.03125</v>
      </c>
      <c r="AB7" s="7">
        <v>0.03125</v>
      </c>
      <c r="AC7" s="7">
        <v>0.14285714285714285</v>
      </c>
      <c r="AD7" s="7">
        <v>0.14285714285714285</v>
      </c>
      <c r="AE7" s="7">
        <v>0.14285714285714285</v>
      </c>
      <c r="AF7" s="7">
        <v>0.1</v>
      </c>
      <c r="AG7" s="7">
        <v>0.1</v>
      </c>
      <c r="AH7" s="7">
        <v>0.1</v>
      </c>
      <c r="AI7" s="7">
        <v>0.14285714285714285</v>
      </c>
      <c r="AJ7" s="7">
        <v>0.14285714285714285</v>
      </c>
      <c r="AK7" s="7">
        <v>0.14285714285714285</v>
      </c>
      <c r="AM7" s="4" t="s">
        <v>65</v>
      </c>
      <c r="AN7" s="9">
        <v>10.0</v>
      </c>
    </row>
    <row r="8">
      <c r="A8" s="4" t="s">
        <v>66</v>
      </c>
      <c r="B8" s="7">
        <v>0.25</v>
      </c>
      <c r="C8" s="7">
        <v>0.25</v>
      </c>
      <c r="D8" s="7">
        <v>0.25</v>
      </c>
      <c r="E8" s="7">
        <v>0.25</v>
      </c>
      <c r="F8" s="7">
        <v>0.25</v>
      </c>
      <c r="G8" s="7">
        <v>0.25</v>
      </c>
      <c r="H8" s="7">
        <v>0.2857142857142857</v>
      </c>
      <c r="I8" s="7">
        <v>0.2857142857142857</v>
      </c>
      <c r="J8" s="7">
        <v>0.2857142857142857</v>
      </c>
      <c r="K8" s="7">
        <v>0.3333333333333333</v>
      </c>
      <c r="L8" s="7">
        <v>0.3333333333333333</v>
      </c>
      <c r="M8" s="7">
        <v>0.3333333333333333</v>
      </c>
      <c r="N8" s="7">
        <v>0.3333333333333333</v>
      </c>
      <c r="O8" s="7">
        <v>0.3333333333333333</v>
      </c>
      <c r="P8" s="7">
        <v>0.3333333333333333</v>
      </c>
      <c r="Q8" s="7">
        <v>0.3333333333333333</v>
      </c>
      <c r="R8" s="7">
        <v>0.3333333333333333</v>
      </c>
      <c r="S8" s="7">
        <v>0.3333333333333333</v>
      </c>
      <c r="T8" s="7">
        <v>0.3333333333333333</v>
      </c>
      <c r="U8" s="7">
        <v>0.3333333333333333</v>
      </c>
      <c r="V8" s="7">
        <v>0.3333333333333333</v>
      </c>
      <c r="W8" s="7">
        <v>0.3333333333333333</v>
      </c>
      <c r="X8" s="7">
        <v>0.3333333333333333</v>
      </c>
      <c r="Y8" s="7">
        <v>0.3333333333333333</v>
      </c>
      <c r="Z8" s="7">
        <v>0.0625</v>
      </c>
      <c r="AA8" s="7">
        <v>0.0625</v>
      </c>
      <c r="AB8" s="7">
        <v>0.0625</v>
      </c>
      <c r="AC8" s="7">
        <v>0.2857142857142857</v>
      </c>
      <c r="AD8" s="7">
        <v>0.2857142857142857</v>
      </c>
      <c r="AE8" s="7">
        <v>0.2857142857142857</v>
      </c>
      <c r="AF8" s="7">
        <v>0.2</v>
      </c>
      <c r="AG8" s="7">
        <v>0.2</v>
      </c>
      <c r="AH8" s="7">
        <v>0.2</v>
      </c>
      <c r="AI8" s="7">
        <v>0.2857142857142857</v>
      </c>
      <c r="AJ8" s="7">
        <v>0.2857142857142857</v>
      </c>
      <c r="AK8" s="7">
        <v>0.2857142857142857</v>
      </c>
      <c r="AM8" s="4" t="s">
        <v>66</v>
      </c>
      <c r="AN8" s="9">
        <v>10.0</v>
      </c>
    </row>
    <row r="9">
      <c r="A9" s="5"/>
      <c r="B9" s="7" t="s">
        <v>83</v>
      </c>
      <c r="C9" s="7" t="s">
        <v>83</v>
      </c>
      <c r="D9" s="7" t="s">
        <v>83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7" t="s">
        <v>83</v>
      </c>
      <c r="AI9" s="7" t="s">
        <v>83</v>
      </c>
      <c r="AJ9" s="7" t="s">
        <v>83</v>
      </c>
      <c r="AK9" s="7" t="s">
        <v>83</v>
      </c>
    </row>
    <row r="10"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84</v>
      </c>
      <c r="B2" s="7">
        <f t="array" ref="B2:AK8">N('Mouth of River (Adjusted)'!B2:AK8) * N('Mouth of River (Adjusted)'!AN2:AN8)</f>
        <v>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281.25</v>
      </c>
      <c r="AA2" s="7">
        <v>281.25</v>
      </c>
      <c r="AB2" s="7">
        <v>281.25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</row>
    <row r="3">
      <c r="A3" s="4" t="s">
        <v>85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437.5</v>
      </c>
      <c r="AA3" s="7">
        <v>437.5</v>
      </c>
      <c r="AB3" s="7">
        <v>437.5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86</v>
      </c>
      <c r="B4" s="7">
        <v>2500.0</v>
      </c>
      <c r="C4" s="7">
        <v>2500.0</v>
      </c>
      <c r="D4" s="7">
        <v>2500.0</v>
      </c>
      <c r="E4" s="7">
        <v>2500.0</v>
      </c>
      <c r="F4" s="7">
        <v>2500.0</v>
      </c>
      <c r="G4" s="7">
        <v>2500.0</v>
      </c>
      <c r="H4" s="7">
        <v>1428.5714285714284</v>
      </c>
      <c r="I4" s="7">
        <v>1428.5714285714284</v>
      </c>
      <c r="J4" s="7">
        <v>1428.5714285714284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312.5</v>
      </c>
      <c r="AA4" s="7">
        <v>312.5</v>
      </c>
      <c r="AB4" s="7">
        <v>312.5</v>
      </c>
      <c r="AC4" s="7">
        <v>1428.5714285714284</v>
      </c>
      <c r="AD4" s="7">
        <v>1428.5714285714284</v>
      </c>
      <c r="AE4" s="7">
        <v>1428.5714285714284</v>
      </c>
      <c r="AF4" s="7">
        <v>4000.0</v>
      </c>
      <c r="AG4" s="7">
        <v>4000.0</v>
      </c>
      <c r="AH4" s="7">
        <v>4000.0</v>
      </c>
      <c r="AI4" s="7">
        <v>1428.5714285714284</v>
      </c>
      <c r="AJ4" s="7">
        <v>1428.5714285714284</v>
      </c>
      <c r="AK4" s="7">
        <v>1428.5714285714284</v>
      </c>
    </row>
    <row r="5">
      <c r="A5" s="4" t="s">
        <v>63</v>
      </c>
      <c r="B5" s="7">
        <v>2.5</v>
      </c>
      <c r="C5" s="7">
        <v>2.5</v>
      </c>
      <c r="D5" s="7">
        <v>2.5</v>
      </c>
      <c r="E5" s="7">
        <v>2.5</v>
      </c>
      <c r="F5" s="7">
        <v>2.5</v>
      </c>
      <c r="G5" s="7">
        <v>2.5</v>
      </c>
      <c r="H5" s="7">
        <v>2.8571428571428568</v>
      </c>
      <c r="I5" s="7">
        <v>2.8571428571428568</v>
      </c>
      <c r="J5" s="7">
        <v>2.8571428571428568</v>
      </c>
      <c r="K5" s="7">
        <v>3.333333333333333</v>
      </c>
      <c r="L5" s="7">
        <v>3.333333333333333</v>
      </c>
      <c r="M5" s="7">
        <v>3.333333333333333</v>
      </c>
      <c r="N5" s="7">
        <v>3.333333333333333</v>
      </c>
      <c r="O5" s="7">
        <v>3.333333333333333</v>
      </c>
      <c r="P5" s="7">
        <v>3.333333333333333</v>
      </c>
      <c r="Q5" s="7">
        <v>3.333333333333333</v>
      </c>
      <c r="R5" s="7">
        <v>3.333333333333333</v>
      </c>
      <c r="S5" s="7">
        <v>3.333333333333333</v>
      </c>
      <c r="T5" s="7">
        <v>3.333333333333333</v>
      </c>
      <c r="U5" s="7">
        <v>3.333333333333333</v>
      </c>
      <c r="V5" s="7">
        <v>3.333333333333333</v>
      </c>
      <c r="W5" s="7">
        <v>3.333333333333333</v>
      </c>
      <c r="X5" s="7">
        <v>3.333333333333333</v>
      </c>
      <c r="Y5" s="7">
        <v>3.333333333333333</v>
      </c>
      <c r="Z5" s="7">
        <v>0.625</v>
      </c>
      <c r="AA5" s="7">
        <v>0.625</v>
      </c>
      <c r="AB5" s="7">
        <v>0.625</v>
      </c>
      <c r="AC5" s="7">
        <v>2.8571428571428568</v>
      </c>
      <c r="AD5" s="7">
        <v>2.8571428571428568</v>
      </c>
      <c r="AE5" s="7">
        <v>2.8571428571428568</v>
      </c>
      <c r="AF5" s="7">
        <v>2.0</v>
      </c>
      <c r="AG5" s="7">
        <v>2.0</v>
      </c>
      <c r="AH5" s="7">
        <v>2.0</v>
      </c>
      <c r="AI5" s="7">
        <v>2.8571428571428568</v>
      </c>
      <c r="AJ5" s="7">
        <v>2.8571428571428568</v>
      </c>
      <c r="AK5" s="7">
        <v>2.8571428571428568</v>
      </c>
    </row>
    <row r="6">
      <c r="A6" s="4" t="s">
        <v>64</v>
      </c>
      <c r="B6" s="7">
        <v>1.25</v>
      </c>
      <c r="C6" s="7">
        <v>1.25</v>
      </c>
      <c r="D6" s="7">
        <v>1.25</v>
      </c>
      <c r="E6" s="7">
        <v>1.25</v>
      </c>
      <c r="F6" s="7">
        <v>1.25</v>
      </c>
      <c r="G6" s="7">
        <v>1.25</v>
      </c>
      <c r="H6" s="7">
        <v>1.4285714285714284</v>
      </c>
      <c r="I6" s="7">
        <v>1.4285714285714284</v>
      </c>
      <c r="J6" s="7">
        <v>1.4285714285714284</v>
      </c>
      <c r="K6" s="7">
        <v>1.6666666666666665</v>
      </c>
      <c r="L6" s="7">
        <v>1.6666666666666665</v>
      </c>
      <c r="M6" s="7">
        <v>1.6666666666666665</v>
      </c>
      <c r="N6" s="7">
        <v>1.6666666666666665</v>
      </c>
      <c r="O6" s="7">
        <v>1.6666666666666665</v>
      </c>
      <c r="P6" s="7">
        <v>1.6666666666666665</v>
      </c>
      <c r="Q6" s="7">
        <v>1.6666666666666665</v>
      </c>
      <c r="R6" s="7">
        <v>1.6666666666666665</v>
      </c>
      <c r="S6" s="7">
        <v>1.6666666666666665</v>
      </c>
      <c r="T6" s="7">
        <v>1.6666666666666665</v>
      </c>
      <c r="U6" s="7">
        <v>1.6666666666666665</v>
      </c>
      <c r="V6" s="7">
        <v>1.6666666666666665</v>
      </c>
      <c r="W6" s="7">
        <v>1.6666666666666665</v>
      </c>
      <c r="X6" s="7">
        <v>1.6666666666666665</v>
      </c>
      <c r="Y6" s="7">
        <v>1.6666666666666665</v>
      </c>
      <c r="Z6" s="7">
        <v>0.3125</v>
      </c>
      <c r="AA6" s="7">
        <v>0.3125</v>
      </c>
      <c r="AB6" s="7">
        <v>0.3125</v>
      </c>
      <c r="AC6" s="7">
        <v>1.4285714285714284</v>
      </c>
      <c r="AD6" s="7">
        <v>1.4285714285714284</v>
      </c>
      <c r="AE6" s="7">
        <v>1.4285714285714284</v>
      </c>
      <c r="AF6" s="7">
        <v>1.0</v>
      </c>
      <c r="AG6" s="7">
        <v>1.0</v>
      </c>
      <c r="AH6" s="7">
        <v>1.0</v>
      </c>
      <c r="AI6" s="7">
        <v>1.4285714285714284</v>
      </c>
      <c r="AJ6" s="7">
        <v>1.4285714285714284</v>
      </c>
      <c r="AK6" s="7">
        <v>1.4285714285714284</v>
      </c>
    </row>
    <row r="7">
      <c r="A7" s="4" t="s">
        <v>65</v>
      </c>
      <c r="B7" s="7">
        <v>1.25</v>
      </c>
      <c r="C7" s="7">
        <v>1.25</v>
      </c>
      <c r="D7" s="7">
        <v>1.25</v>
      </c>
      <c r="E7" s="7">
        <v>1.25</v>
      </c>
      <c r="F7" s="7">
        <v>1.25</v>
      </c>
      <c r="G7" s="7">
        <v>1.25</v>
      </c>
      <c r="H7" s="7">
        <v>1.4285714285714284</v>
      </c>
      <c r="I7" s="7">
        <v>1.4285714285714284</v>
      </c>
      <c r="J7" s="7">
        <v>1.4285714285714284</v>
      </c>
      <c r="K7" s="7">
        <v>1.6666666666666665</v>
      </c>
      <c r="L7" s="7">
        <v>1.6666666666666665</v>
      </c>
      <c r="M7" s="7">
        <v>1.6666666666666665</v>
      </c>
      <c r="N7" s="7">
        <v>1.6666666666666665</v>
      </c>
      <c r="O7" s="7">
        <v>1.6666666666666665</v>
      </c>
      <c r="P7" s="7">
        <v>1.6666666666666665</v>
      </c>
      <c r="Q7" s="7">
        <v>1.6666666666666665</v>
      </c>
      <c r="R7" s="7">
        <v>1.6666666666666665</v>
      </c>
      <c r="S7" s="7">
        <v>1.6666666666666665</v>
      </c>
      <c r="T7" s="7">
        <v>1.6666666666666665</v>
      </c>
      <c r="U7" s="7">
        <v>1.6666666666666665</v>
      </c>
      <c r="V7" s="7">
        <v>1.6666666666666665</v>
      </c>
      <c r="W7" s="7">
        <v>1.6666666666666665</v>
      </c>
      <c r="X7" s="7">
        <v>1.6666666666666665</v>
      </c>
      <c r="Y7" s="7">
        <v>1.6666666666666665</v>
      </c>
      <c r="Z7" s="7">
        <v>0.3125</v>
      </c>
      <c r="AA7" s="7">
        <v>0.3125</v>
      </c>
      <c r="AB7" s="7">
        <v>0.3125</v>
      </c>
      <c r="AC7" s="7">
        <v>1.4285714285714284</v>
      </c>
      <c r="AD7" s="7">
        <v>1.4285714285714284</v>
      </c>
      <c r="AE7" s="7">
        <v>1.4285714285714284</v>
      </c>
      <c r="AF7" s="7">
        <v>1.0</v>
      </c>
      <c r="AG7" s="7">
        <v>1.0</v>
      </c>
      <c r="AH7" s="7">
        <v>1.0</v>
      </c>
      <c r="AI7" s="7">
        <v>1.4285714285714284</v>
      </c>
      <c r="AJ7" s="7">
        <v>1.4285714285714284</v>
      </c>
      <c r="AK7" s="7">
        <v>1.4285714285714284</v>
      </c>
    </row>
    <row r="8">
      <c r="A8" s="4" t="s">
        <v>66</v>
      </c>
      <c r="B8" s="7">
        <v>2.5</v>
      </c>
      <c r="C8" s="7">
        <v>2.5</v>
      </c>
      <c r="D8" s="7">
        <v>2.5</v>
      </c>
      <c r="E8" s="7">
        <v>2.5</v>
      </c>
      <c r="F8" s="7">
        <v>2.5</v>
      </c>
      <c r="G8" s="7">
        <v>2.5</v>
      </c>
      <c r="H8" s="7">
        <v>2.8571428571428568</v>
      </c>
      <c r="I8" s="7">
        <v>2.8571428571428568</v>
      </c>
      <c r="J8" s="7">
        <v>2.8571428571428568</v>
      </c>
      <c r="K8" s="7">
        <v>3.333333333333333</v>
      </c>
      <c r="L8" s="7">
        <v>3.333333333333333</v>
      </c>
      <c r="M8" s="7">
        <v>3.333333333333333</v>
      </c>
      <c r="N8" s="7">
        <v>3.333333333333333</v>
      </c>
      <c r="O8" s="7">
        <v>3.333333333333333</v>
      </c>
      <c r="P8" s="7">
        <v>3.333333333333333</v>
      </c>
      <c r="Q8" s="7">
        <v>3.333333333333333</v>
      </c>
      <c r="R8" s="7">
        <v>3.333333333333333</v>
      </c>
      <c r="S8" s="7">
        <v>3.333333333333333</v>
      </c>
      <c r="T8" s="7">
        <v>3.333333333333333</v>
      </c>
      <c r="U8" s="7">
        <v>3.333333333333333</v>
      </c>
      <c r="V8" s="7">
        <v>3.333333333333333</v>
      </c>
      <c r="W8" s="7">
        <v>3.333333333333333</v>
      </c>
      <c r="X8" s="7">
        <v>3.333333333333333</v>
      </c>
      <c r="Y8" s="7">
        <v>3.333333333333333</v>
      </c>
      <c r="Z8" s="7">
        <v>0.625</v>
      </c>
      <c r="AA8" s="7">
        <v>0.625</v>
      </c>
      <c r="AB8" s="7">
        <v>0.625</v>
      </c>
      <c r="AC8" s="7">
        <v>2.8571428571428568</v>
      </c>
      <c r="AD8" s="7">
        <v>2.8571428571428568</v>
      </c>
      <c r="AE8" s="7">
        <v>2.8571428571428568</v>
      </c>
      <c r="AF8" s="7">
        <v>2.0</v>
      </c>
      <c r="AG8" s="7">
        <v>2.0</v>
      </c>
      <c r="AH8" s="7">
        <v>2.0</v>
      </c>
      <c r="AI8" s="7">
        <v>2.8571428571428568</v>
      </c>
      <c r="AJ8" s="7">
        <v>2.8571428571428568</v>
      </c>
      <c r="AK8" s="7">
        <v>2.8571428571428568</v>
      </c>
    </row>
    <row r="9">
      <c r="A9" s="16" t="s">
        <v>76</v>
      </c>
      <c r="B9" s="17">
        <f t="shared" ref="B9:AK9" si="1">SUM(B1:B8)</f>
        <v>2507.5</v>
      </c>
      <c r="C9" s="17">
        <f t="shared" si="1"/>
        <v>2507.5</v>
      </c>
      <c r="D9" s="17">
        <f t="shared" si="1"/>
        <v>2507.5</v>
      </c>
      <c r="E9" s="17">
        <f t="shared" si="1"/>
        <v>2507.5</v>
      </c>
      <c r="F9" s="17">
        <f t="shared" si="1"/>
        <v>2507.5</v>
      </c>
      <c r="G9" s="17">
        <f t="shared" si="1"/>
        <v>2507.5</v>
      </c>
      <c r="H9" s="17">
        <f t="shared" si="1"/>
        <v>1437.142857</v>
      </c>
      <c r="I9" s="17">
        <f t="shared" si="1"/>
        <v>1437.142857</v>
      </c>
      <c r="J9" s="17">
        <f t="shared" si="1"/>
        <v>1437.142857</v>
      </c>
      <c r="K9" s="17">
        <f t="shared" si="1"/>
        <v>10</v>
      </c>
      <c r="L9" s="17">
        <f t="shared" si="1"/>
        <v>10</v>
      </c>
      <c r="M9" s="17">
        <f t="shared" si="1"/>
        <v>10</v>
      </c>
      <c r="N9" s="17">
        <f t="shared" si="1"/>
        <v>10</v>
      </c>
      <c r="O9" s="17">
        <f t="shared" si="1"/>
        <v>10</v>
      </c>
      <c r="P9" s="17">
        <f t="shared" si="1"/>
        <v>10</v>
      </c>
      <c r="Q9" s="17">
        <f t="shared" si="1"/>
        <v>10</v>
      </c>
      <c r="R9" s="17">
        <f t="shared" si="1"/>
        <v>10</v>
      </c>
      <c r="S9" s="17">
        <f t="shared" si="1"/>
        <v>10</v>
      </c>
      <c r="T9" s="17">
        <f t="shared" si="1"/>
        <v>10</v>
      </c>
      <c r="U9" s="17">
        <f t="shared" si="1"/>
        <v>10</v>
      </c>
      <c r="V9" s="17">
        <f t="shared" si="1"/>
        <v>10</v>
      </c>
      <c r="W9" s="17">
        <f t="shared" si="1"/>
        <v>10</v>
      </c>
      <c r="X9" s="17">
        <f t="shared" si="1"/>
        <v>10</v>
      </c>
      <c r="Y9" s="17">
        <f t="shared" si="1"/>
        <v>10</v>
      </c>
      <c r="Z9" s="17">
        <f t="shared" si="1"/>
        <v>1033.125</v>
      </c>
      <c r="AA9" s="17">
        <f t="shared" si="1"/>
        <v>1033.125</v>
      </c>
      <c r="AB9" s="17">
        <f t="shared" si="1"/>
        <v>1033.125</v>
      </c>
      <c r="AC9" s="17">
        <f t="shared" si="1"/>
        <v>1437.142857</v>
      </c>
      <c r="AD9" s="17">
        <f t="shared" si="1"/>
        <v>1437.142857</v>
      </c>
      <c r="AE9" s="17">
        <f t="shared" si="1"/>
        <v>1437.142857</v>
      </c>
      <c r="AF9" s="17">
        <f t="shared" si="1"/>
        <v>4006</v>
      </c>
      <c r="AG9" s="17">
        <f t="shared" si="1"/>
        <v>4006</v>
      </c>
      <c r="AH9" s="17">
        <f t="shared" si="1"/>
        <v>4006</v>
      </c>
      <c r="AI9" s="17">
        <f t="shared" si="1"/>
        <v>1437.142857</v>
      </c>
      <c r="AJ9" s="17">
        <f t="shared" si="1"/>
        <v>1437.142857</v>
      </c>
      <c r="AK9" s="17">
        <f t="shared" si="1"/>
        <v>1437.142857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89</v>
      </c>
      <c r="B2" s="2">
        <v>8.0</v>
      </c>
      <c r="C2" s="2">
        <v>8.0</v>
      </c>
      <c r="D2" s="2">
        <v>8.0</v>
      </c>
      <c r="E2" s="2">
        <v>8.0</v>
      </c>
      <c r="F2" s="2">
        <v>8.0</v>
      </c>
      <c r="G2" s="2">
        <v>8.0</v>
      </c>
      <c r="H2" s="2">
        <v>7.0</v>
      </c>
      <c r="I2" s="2">
        <v>8.0</v>
      </c>
      <c r="J2" s="2">
        <v>8.0</v>
      </c>
      <c r="K2" s="2">
        <v>7.0</v>
      </c>
      <c r="L2" s="3">
        <v>9.0</v>
      </c>
      <c r="M2" s="2">
        <v>8.0</v>
      </c>
      <c r="N2" s="2">
        <v>6.0</v>
      </c>
      <c r="O2" s="2">
        <v>6.0</v>
      </c>
      <c r="P2" s="2">
        <v>7.0</v>
      </c>
      <c r="Q2" s="2">
        <v>6.0</v>
      </c>
      <c r="R2" s="2">
        <v>6.0</v>
      </c>
      <c r="S2" s="2">
        <v>6.0</v>
      </c>
      <c r="T2" s="2">
        <v>6.0</v>
      </c>
      <c r="U2" s="2">
        <v>6.0</v>
      </c>
      <c r="V2" s="2">
        <v>6.0</v>
      </c>
      <c r="W2" s="2">
        <v>6.0</v>
      </c>
      <c r="X2" s="2">
        <v>6.0</v>
      </c>
      <c r="Y2" s="2">
        <v>6.0</v>
      </c>
      <c r="Z2" s="2">
        <v>3.0</v>
      </c>
      <c r="AA2" s="2">
        <v>3.0</v>
      </c>
      <c r="AB2" s="2">
        <v>3.0</v>
      </c>
      <c r="AC2" s="2">
        <v>8.0</v>
      </c>
      <c r="AD2" s="2">
        <v>8.0</v>
      </c>
      <c r="AE2" s="2">
        <v>8.0</v>
      </c>
      <c r="AF2" s="2">
        <v>8.0</v>
      </c>
      <c r="AG2" s="2">
        <v>7.0</v>
      </c>
      <c r="AH2" s="2">
        <v>7.0</v>
      </c>
      <c r="AI2" s="2">
        <v>6.0</v>
      </c>
      <c r="AJ2" s="2">
        <v>6.0</v>
      </c>
      <c r="AK2" s="2">
        <v>6.0</v>
      </c>
    </row>
    <row r="3">
      <c r="A3" s="4" t="s">
        <v>90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2">
        <v>7.0</v>
      </c>
      <c r="P3" s="2">
        <v>7.0</v>
      </c>
      <c r="Q3" s="12">
        <v>0.0</v>
      </c>
      <c r="R3" s="2">
        <v>7.0</v>
      </c>
      <c r="S3" s="2">
        <v>7.0</v>
      </c>
      <c r="T3" s="12">
        <v>0.0</v>
      </c>
      <c r="U3" s="3">
        <v>8.0</v>
      </c>
      <c r="V3" s="3">
        <v>8.0</v>
      </c>
      <c r="W3" s="12">
        <v>0.0</v>
      </c>
      <c r="X3" s="3">
        <v>8.0</v>
      </c>
      <c r="Y3" s="3">
        <v>8.0</v>
      </c>
      <c r="Z3" s="12">
        <v>0.0</v>
      </c>
      <c r="AA3" s="2">
        <v>7.0</v>
      </c>
      <c r="AB3" s="2">
        <v>6.0</v>
      </c>
      <c r="AC3" s="12">
        <v>0.0</v>
      </c>
      <c r="AD3" s="3">
        <v>8.0</v>
      </c>
      <c r="AE3" s="3">
        <v>8.0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4" t="s">
        <v>91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3">
        <v>12.0</v>
      </c>
      <c r="L4" s="2">
        <v>11.0</v>
      </c>
      <c r="M4" s="2">
        <v>11.0</v>
      </c>
      <c r="N4" s="2">
        <v>10.0</v>
      </c>
      <c r="O4" s="2">
        <v>9.0</v>
      </c>
      <c r="P4" s="2">
        <v>9.0</v>
      </c>
      <c r="Q4" s="2">
        <v>10.0</v>
      </c>
      <c r="R4" s="2">
        <v>8.0</v>
      </c>
      <c r="S4" s="2">
        <v>8.0</v>
      </c>
      <c r="T4" s="2">
        <v>8.0</v>
      </c>
      <c r="U4" s="2">
        <v>9.0</v>
      </c>
      <c r="V4" s="2">
        <v>7.0</v>
      </c>
      <c r="W4" s="2">
        <v>10.0</v>
      </c>
      <c r="X4" s="2">
        <v>9.0</v>
      </c>
      <c r="Y4" s="2">
        <v>8.0</v>
      </c>
      <c r="Z4" s="2">
        <v>4.0</v>
      </c>
      <c r="AA4" s="2">
        <v>4.0</v>
      </c>
      <c r="AB4" s="2">
        <v>4.0</v>
      </c>
      <c r="AC4" s="12">
        <v>0.0</v>
      </c>
      <c r="AD4" s="12">
        <v>0.0</v>
      </c>
      <c r="AE4" s="12">
        <v>0.0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</row>
    <row r="5">
      <c r="A5" s="4" t="s">
        <v>92</v>
      </c>
      <c r="B5" s="12">
        <v>0.0</v>
      </c>
      <c r="C5" s="12">
        <v>0.0</v>
      </c>
      <c r="D5" s="12">
        <v>0.0</v>
      </c>
      <c r="E5" s="12">
        <v>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3">
        <v>9.0</v>
      </c>
      <c r="O5" s="2">
        <v>8.0</v>
      </c>
      <c r="P5" s="2">
        <v>8.0</v>
      </c>
      <c r="Q5" s="3">
        <v>9.0</v>
      </c>
      <c r="R5" s="3">
        <v>9.0</v>
      </c>
      <c r="S5" s="2">
        <v>7.0</v>
      </c>
      <c r="T5" s="2">
        <v>8.0</v>
      </c>
      <c r="U5" s="3">
        <v>9.0</v>
      </c>
      <c r="V5" s="3">
        <v>9.0</v>
      </c>
      <c r="W5" s="2">
        <v>8.0</v>
      </c>
      <c r="X5" s="2">
        <v>8.0</v>
      </c>
      <c r="Y5" s="2">
        <v>7.0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0.0</v>
      </c>
      <c r="AJ5" s="12">
        <v>0.0</v>
      </c>
      <c r="AK5" s="12">
        <v>0.0</v>
      </c>
    </row>
    <row r="6">
      <c r="A6" s="4" t="s">
        <v>93</v>
      </c>
      <c r="B6" s="12">
        <v>0.0</v>
      </c>
      <c r="C6" s="12">
        <v>0.0</v>
      </c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2">
        <v>1.0</v>
      </c>
      <c r="S6" s="3">
        <v>2.0</v>
      </c>
      <c r="T6" s="12">
        <v>0.0</v>
      </c>
      <c r="U6" s="2">
        <v>1.0</v>
      </c>
      <c r="V6" s="3">
        <v>2.0</v>
      </c>
      <c r="W6" s="12">
        <v>0.0</v>
      </c>
      <c r="X6" s="2">
        <v>1.0</v>
      </c>
      <c r="Y6" s="3">
        <v>2.0</v>
      </c>
      <c r="Z6" s="12">
        <v>0.0</v>
      </c>
      <c r="AA6" s="2">
        <v>1.0</v>
      </c>
      <c r="AB6" s="3">
        <v>2.0</v>
      </c>
      <c r="AC6" s="12">
        <v>0.0</v>
      </c>
      <c r="AD6" s="12">
        <v>0.0</v>
      </c>
      <c r="AE6" s="12">
        <v>0.0</v>
      </c>
      <c r="AF6" s="12">
        <v>0.0</v>
      </c>
      <c r="AG6" s="12">
        <v>0.0</v>
      </c>
      <c r="AH6" s="12">
        <v>0.0</v>
      </c>
      <c r="AI6" s="12">
        <v>0.0</v>
      </c>
      <c r="AJ6" s="12">
        <v>0.0</v>
      </c>
      <c r="AK6" s="12">
        <v>0.0</v>
      </c>
    </row>
    <row r="7">
      <c r="A7" s="4" t="s">
        <v>94</v>
      </c>
      <c r="B7" s="12">
        <v>0.0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3">
        <v>2.0</v>
      </c>
      <c r="R7" s="12">
        <v>0.0</v>
      </c>
      <c r="S7" s="12">
        <v>0.0</v>
      </c>
      <c r="T7" s="3">
        <v>2.0</v>
      </c>
      <c r="U7" s="12">
        <v>0.0</v>
      </c>
      <c r="V7" s="12">
        <v>0.0</v>
      </c>
      <c r="W7" s="3">
        <v>2.0</v>
      </c>
      <c r="X7" s="12">
        <v>0.0</v>
      </c>
      <c r="Y7" s="12">
        <v>0.0</v>
      </c>
      <c r="Z7" s="12">
        <v>0.0</v>
      </c>
      <c r="AA7" s="12">
        <v>0.0</v>
      </c>
      <c r="AB7" s="12">
        <v>0.0</v>
      </c>
      <c r="AC7" s="12">
        <v>0.0</v>
      </c>
      <c r="AD7" s="12">
        <v>0.0</v>
      </c>
      <c r="AE7" s="12">
        <v>0.0</v>
      </c>
      <c r="AF7" s="12">
        <v>0.0</v>
      </c>
      <c r="AG7" s="12">
        <v>0.0</v>
      </c>
      <c r="AH7" s="12">
        <v>0.0</v>
      </c>
      <c r="AI7" s="12">
        <v>0.0</v>
      </c>
      <c r="AJ7" s="12">
        <v>0.0</v>
      </c>
      <c r="AK7" s="12">
        <v>0.0</v>
      </c>
    </row>
    <row r="8">
      <c r="A8" s="4" t="s">
        <v>95</v>
      </c>
      <c r="B8" s="2">
        <v>3.0</v>
      </c>
      <c r="C8" s="3">
        <v>4.0</v>
      </c>
      <c r="D8" s="3">
        <v>4.0</v>
      </c>
      <c r="E8" s="2">
        <v>3.0</v>
      </c>
      <c r="F8" s="3">
        <v>4.0</v>
      </c>
      <c r="G8" s="3">
        <v>4.0</v>
      </c>
      <c r="H8" s="2">
        <v>2.0</v>
      </c>
      <c r="I8" s="2">
        <v>3.0</v>
      </c>
      <c r="J8" s="2">
        <v>2.0</v>
      </c>
      <c r="K8" s="2">
        <v>2.0</v>
      </c>
      <c r="L8" s="2">
        <v>2.0</v>
      </c>
      <c r="M8" s="2">
        <v>2.0</v>
      </c>
      <c r="N8" s="2">
        <v>2.0</v>
      </c>
      <c r="O8" s="2">
        <v>2.0</v>
      </c>
      <c r="P8" s="2">
        <v>2.0</v>
      </c>
      <c r="Q8" s="2">
        <v>2.0</v>
      </c>
      <c r="R8" s="2">
        <v>2.0</v>
      </c>
      <c r="S8" s="2">
        <v>2.0</v>
      </c>
      <c r="T8" s="2">
        <v>2.0</v>
      </c>
      <c r="U8" s="2">
        <v>2.0</v>
      </c>
      <c r="V8" s="2">
        <v>2.0</v>
      </c>
      <c r="W8" s="2">
        <v>2.0</v>
      </c>
      <c r="X8" s="2">
        <v>2.0</v>
      </c>
      <c r="Y8" s="2">
        <v>2.0</v>
      </c>
      <c r="Z8" s="2">
        <v>2.0</v>
      </c>
      <c r="AA8" s="2">
        <v>1.0</v>
      </c>
      <c r="AB8" s="2">
        <v>1.0</v>
      </c>
      <c r="AC8" s="2">
        <v>2.0</v>
      </c>
      <c r="AD8" s="2">
        <v>2.0</v>
      </c>
      <c r="AE8" s="2">
        <v>2.0</v>
      </c>
      <c r="AF8" s="2">
        <v>2.0</v>
      </c>
      <c r="AG8" s="2">
        <v>2.0</v>
      </c>
      <c r="AH8" s="2">
        <v>2.0</v>
      </c>
      <c r="AI8" s="2">
        <v>3.0</v>
      </c>
      <c r="AJ8" s="2">
        <v>3.0</v>
      </c>
      <c r="AK8" s="2">
        <v>3.0</v>
      </c>
    </row>
    <row r="9">
      <c r="A9" s="4" t="s">
        <v>96</v>
      </c>
      <c r="B9" s="12">
        <v>0.0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3">
        <v>4.0</v>
      </c>
      <c r="L9" s="3">
        <v>4.0</v>
      </c>
      <c r="M9" s="3">
        <v>4.0</v>
      </c>
      <c r="N9" s="2">
        <v>3.0</v>
      </c>
      <c r="O9" s="2">
        <v>3.0</v>
      </c>
      <c r="P9" s="2">
        <v>3.0</v>
      </c>
      <c r="Q9" s="2">
        <v>3.0</v>
      </c>
      <c r="R9" s="2">
        <v>3.0</v>
      </c>
      <c r="S9" s="2">
        <v>3.0</v>
      </c>
      <c r="T9" s="2">
        <v>3.0</v>
      </c>
      <c r="U9" s="2">
        <v>3.0</v>
      </c>
      <c r="V9" s="2">
        <v>3.0</v>
      </c>
      <c r="W9" s="2">
        <v>3.0</v>
      </c>
      <c r="X9" s="2">
        <v>3.0</v>
      </c>
      <c r="Y9" s="2">
        <v>3.0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0.0</v>
      </c>
      <c r="AG9" s="12">
        <v>0.0</v>
      </c>
      <c r="AH9" s="12">
        <v>0.0</v>
      </c>
      <c r="AI9" s="12">
        <v>0.0</v>
      </c>
      <c r="AJ9" s="12">
        <v>0.0</v>
      </c>
      <c r="AK9" s="12">
        <v>0.0</v>
      </c>
    </row>
    <row r="10">
      <c r="A10" s="4" t="s">
        <v>97</v>
      </c>
      <c r="B10" s="12">
        <v>0.0</v>
      </c>
      <c r="C10" s="2">
        <v>3.0</v>
      </c>
      <c r="D10" s="2">
        <v>3.0</v>
      </c>
      <c r="E10" s="12">
        <v>0.0</v>
      </c>
      <c r="F10" s="2">
        <v>3.0</v>
      </c>
      <c r="G10" s="2">
        <v>3.0</v>
      </c>
      <c r="H10" s="12">
        <v>0.0</v>
      </c>
      <c r="I10" s="2">
        <v>3.0</v>
      </c>
      <c r="J10" s="2">
        <v>3.0</v>
      </c>
      <c r="K10" s="12">
        <v>0.0</v>
      </c>
      <c r="L10" s="2">
        <v>3.0</v>
      </c>
      <c r="M10" s="2">
        <v>3.0</v>
      </c>
      <c r="N10" s="12">
        <v>0.0</v>
      </c>
      <c r="O10" s="2">
        <v>1.0</v>
      </c>
      <c r="P10" s="2">
        <v>2.0</v>
      </c>
      <c r="Q10" s="12">
        <v>0.0</v>
      </c>
      <c r="R10" s="2">
        <v>2.0</v>
      </c>
      <c r="S10" s="2">
        <v>2.0</v>
      </c>
      <c r="T10" s="12">
        <v>0.0</v>
      </c>
      <c r="U10" s="2">
        <v>2.0</v>
      </c>
      <c r="V10" s="2">
        <v>2.0</v>
      </c>
      <c r="W10" s="12">
        <v>0.0</v>
      </c>
      <c r="X10" s="2">
        <v>2.0</v>
      </c>
      <c r="Y10" s="2">
        <v>2.0</v>
      </c>
      <c r="Z10" s="12">
        <v>0.0</v>
      </c>
      <c r="AA10" s="2">
        <v>1.0</v>
      </c>
      <c r="AB10" s="2">
        <v>1.0</v>
      </c>
      <c r="AC10" s="12">
        <v>0.0</v>
      </c>
      <c r="AD10" s="2">
        <v>3.0</v>
      </c>
      <c r="AE10" s="2">
        <v>3.0</v>
      </c>
      <c r="AF10" s="12">
        <v>0.0</v>
      </c>
      <c r="AG10" s="2">
        <v>2.0</v>
      </c>
      <c r="AH10" s="2">
        <v>2.0</v>
      </c>
      <c r="AI10" s="12">
        <v>0.0</v>
      </c>
      <c r="AJ10" s="3">
        <v>4.0</v>
      </c>
      <c r="AK10" s="3">
        <v>4.0</v>
      </c>
    </row>
    <row r="11">
      <c r="A11" s="4" t="s">
        <v>98</v>
      </c>
      <c r="B11" s="2">
        <v>1.0</v>
      </c>
      <c r="C11" s="12">
        <v>0.0</v>
      </c>
      <c r="D11" s="12">
        <v>0.0</v>
      </c>
      <c r="E11" s="2">
        <v>1.0</v>
      </c>
      <c r="F11" s="12">
        <v>0.0</v>
      </c>
      <c r="G11" s="12">
        <v>0.0</v>
      </c>
      <c r="H11" s="3">
        <v>2.0</v>
      </c>
      <c r="I11" s="12">
        <v>0.0</v>
      </c>
      <c r="J11" s="12">
        <v>0.0</v>
      </c>
      <c r="K11" s="3">
        <v>2.0</v>
      </c>
      <c r="L11" s="12">
        <v>0.0</v>
      </c>
      <c r="M11" s="12">
        <v>0.0</v>
      </c>
      <c r="N11" s="2">
        <v>1.0</v>
      </c>
      <c r="O11" s="12">
        <v>0.0</v>
      </c>
      <c r="P11" s="12">
        <v>0.0</v>
      </c>
      <c r="Q11" s="2">
        <v>1.0</v>
      </c>
      <c r="R11" s="12">
        <v>0.0</v>
      </c>
      <c r="S11" s="12">
        <v>0.0</v>
      </c>
      <c r="T11" s="2">
        <v>1.0</v>
      </c>
      <c r="U11" s="12">
        <v>0.0</v>
      </c>
      <c r="V11" s="12">
        <v>0.0</v>
      </c>
      <c r="W11" s="2">
        <v>1.0</v>
      </c>
      <c r="X11" s="12">
        <v>0.0</v>
      </c>
      <c r="Y11" s="12">
        <v>0.0</v>
      </c>
      <c r="Z11" s="2">
        <v>1.0</v>
      </c>
      <c r="AA11" s="12">
        <v>0.0</v>
      </c>
      <c r="AB11" s="12">
        <v>0.0</v>
      </c>
      <c r="AC11" s="3">
        <v>2.0</v>
      </c>
      <c r="AD11" s="12">
        <v>0.0</v>
      </c>
      <c r="AE11" s="12">
        <v>0.0</v>
      </c>
      <c r="AF11" s="3">
        <v>2.0</v>
      </c>
      <c r="AG11" s="12">
        <v>0.0</v>
      </c>
      <c r="AH11" s="12">
        <v>0.0</v>
      </c>
      <c r="AI11" s="3">
        <v>2.0</v>
      </c>
      <c r="AJ11" s="12">
        <v>0.0</v>
      </c>
      <c r="AK11" s="12">
        <v>0.0</v>
      </c>
    </row>
    <row r="12">
      <c r="A12" s="4" t="s">
        <v>99</v>
      </c>
      <c r="B12" s="2">
        <v>1.0</v>
      </c>
      <c r="C12" s="12">
        <v>0.0</v>
      </c>
      <c r="D12" s="12">
        <v>0.0</v>
      </c>
      <c r="E12" s="2">
        <v>1.0</v>
      </c>
      <c r="F12" s="12">
        <v>0.0</v>
      </c>
      <c r="G12" s="12">
        <v>0.0</v>
      </c>
      <c r="H12" s="2">
        <v>1.0</v>
      </c>
      <c r="I12" s="12">
        <v>0.0</v>
      </c>
      <c r="J12" s="12">
        <v>0.0</v>
      </c>
      <c r="K12" s="2">
        <v>1.0</v>
      </c>
      <c r="L12" s="12">
        <v>0.0</v>
      </c>
      <c r="M12" s="12">
        <v>0.0</v>
      </c>
      <c r="N12" s="2">
        <v>1.0</v>
      </c>
      <c r="O12" s="12">
        <v>0.0</v>
      </c>
      <c r="P12" s="12">
        <v>0.0</v>
      </c>
      <c r="Q12" s="2">
        <v>1.0</v>
      </c>
      <c r="R12" s="12">
        <v>0.0</v>
      </c>
      <c r="S12" s="12">
        <v>0.0</v>
      </c>
      <c r="T12" s="2">
        <v>1.0</v>
      </c>
      <c r="U12" s="12">
        <v>0.0</v>
      </c>
      <c r="V12" s="12">
        <v>0.0</v>
      </c>
      <c r="W12" s="2">
        <v>1.0</v>
      </c>
      <c r="X12" s="12">
        <v>0.0</v>
      </c>
      <c r="Y12" s="12">
        <v>0.0</v>
      </c>
      <c r="Z12" s="2">
        <v>1.0</v>
      </c>
      <c r="AA12" s="12">
        <v>0.0</v>
      </c>
      <c r="AB12" s="12">
        <v>0.0</v>
      </c>
      <c r="AC12" s="3">
        <v>2.0</v>
      </c>
      <c r="AD12" s="12">
        <v>0.0</v>
      </c>
      <c r="AE12" s="12">
        <v>0.0</v>
      </c>
      <c r="AF12" s="3">
        <v>2.0</v>
      </c>
      <c r="AG12" s="12">
        <v>0.0</v>
      </c>
      <c r="AH12" s="12">
        <v>0.0</v>
      </c>
      <c r="AI12" s="3">
        <v>2.0</v>
      </c>
      <c r="AJ12" s="12">
        <v>0.0</v>
      </c>
      <c r="AK12" s="12">
        <v>0.0</v>
      </c>
    </row>
    <row r="13">
      <c r="A13" s="4" t="s">
        <v>100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3">
        <v>6.0</v>
      </c>
      <c r="I13" s="2">
        <v>5.0</v>
      </c>
      <c r="J13" s="3">
        <v>6.0</v>
      </c>
      <c r="K13" s="3">
        <v>6.0</v>
      </c>
      <c r="L13" s="3">
        <v>6.0</v>
      </c>
      <c r="M13" s="3">
        <v>6.0</v>
      </c>
      <c r="N13" s="2">
        <v>5.0</v>
      </c>
      <c r="O13" s="2">
        <v>5.0</v>
      </c>
      <c r="P13" s="2">
        <v>5.0</v>
      </c>
      <c r="Q13" s="2">
        <v>5.0</v>
      </c>
      <c r="R13" s="2">
        <v>5.0</v>
      </c>
      <c r="S13" s="2">
        <v>5.0</v>
      </c>
      <c r="T13" s="2">
        <v>5.0</v>
      </c>
      <c r="U13" s="2">
        <v>5.0</v>
      </c>
      <c r="V13" s="2">
        <v>5.0</v>
      </c>
      <c r="W13" s="12">
        <v>0.0</v>
      </c>
      <c r="X13" s="12">
        <v>0.0</v>
      </c>
      <c r="Y13" s="12">
        <v>0.0</v>
      </c>
      <c r="Z13" s="12">
        <v>0.0</v>
      </c>
      <c r="AA13" s="12">
        <v>0.0</v>
      </c>
      <c r="AB13" s="12">
        <v>0.0</v>
      </c>
      <c r="AC13" s="12">
        <v>0.0</v>
      </c>
      <c r="AD13" s="12">
        <v>0.0</v>
      </c>
      <c r="AE13" s="12">
        <v>0.0</v>
      </c>
      <c r="AF13" s="12">
        <v>0.0</v>
      </c>
      <c r="AG13" s="12">
        <v>0.0</v>
      </c>
      <c r="AH13" s="12">
        <v>0.0</v>
      </c>
      <c r="AI13" s="12">
        <v>0.0</v>
      </c>
      <c r="AJ13" s="12">
        <v>0.0</v>
      </c>
      <c r="AK13" s="12">
        <v>0.0</v>
      </c>
    </row>
    <row r="14">
      <c r="A14" s="4" t="s">
        <v>63</v>
      </c>
      <c r="B14" s="3">
        <v>2.0</v>
      </c>
      <c r="C14" s="3">
        <v>2.0</v>
      </c>
      <c r="D14" s="3">
        <v>2.0</v>
      </c>
      <c r="E14" s="3">
        <v>2.0</v>
      </c>
      <c r="F14" s="3">
        <v>2.0</v>
      </c>
      <c r="G14" s="3">
        <v>2.0</v>
      </c>
      <c r="H14" s="3">
        <v>2.0</v>
      </c>
      <c r="I14" s="3">
        <v>2.0</v>
      </c>
      <c r="J14" s="3">
        <v>2.0</v>
      </c>
      <c r="K14" s="3">
        <v>2.0</v>
      </c>
      <c r="L14" s="3">
        <v>2.0</v>
      </c>
      <c r="M14" s="3">
        <v>2.0</v>
      </c>
      <c r="N14" s="3">
        <v>2.0</v>
      </c>
      <c r="O14" s="3">
        <v>2.0</v>
      </c>
      <c r="P14" s="3">
        <v>2.0</v>
      </c>
      <c r="Q14" s="3">
        <v>2.0</v>
      </c>
      <c r="R14" s="3">
        <v>2.0</v>
      </c>
      <c r="S14" s="3">
        <v>2.0</v>
      </c>
      <c r="T14" s="3">
        <v>2.0</v>
      </c>
      <c r="U14" s="3">
        <v>2.0</v>
      </c>
      <c r="V14" s="3">
        <v>2.0</v>
      </c>
      <c r="W14" s="3">
        <v>2.0</v>
      </c>
      <c r="X14" s="3">
        <v>2.0</v>
      </c>
      <c r="Y14" s="3">
        <v>2.0</v>
      </c>
      <c r="Z14" s="3">
        <v>2.0</v>
      </c>
      <c r="AA14" s="3">
        <v>2.0</v>
      </c>
      <c r="AB14" s="3">
        <v>2.0</v>
      </c>
      <c r="AC14" s="3">
        <v>2.0</v>
      </c>
      <c r="AD14" s="3">
        <v>2.0</v>
      </c>
      <c r="AE14" s="3">
        <v>2.0</v>
      </c>
      <c r="AF14" s="3">
        <v>2.0</v>
      </c>
      <c r="AG14" s="3">
        <v>2.0</v>
      </c>
      <c r="AH14" s="3">
        <v>2.0</v>
      </c>
      <c r="AI14" s="3">
        <v>2.0</v>
      </c>
      <c r="AJ14" s="3">
        <v>2.0</v>
      </c>
      <c r="AK14" s="3">
        <v>2.0</v>
      </c>
    </row>
    <row r="15">
      <c r="A15" s="4" t="s">
        <v>64</v>
      </c>
      <c r="B15" s="3">
        <v>1.0</v>
      </c>
      <c r="C15" s="3">
        <v>1.0</v>
      </c>
      <c r="D15" s="3">
        <v>1.0</v>
      </c>
      <c r="E15" s="3">
        <v>1.0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1.0</v>
      </c>
      <c r="N15" s="3">
        <v>1.0</v>
      </c>
      <c r="O15" s="3">
        <v>1.0</v>
      </c>
      <c r="P15" s="3">
        <v>1.0</v>
      </c>
      <c r="Q15" s="3">
        <v>1.0</v>
      </c>
      <c r="R15" s="3">
        <v>1.0</v>
      </c>
      <c r="S15" s="3">
        <v>1.0</v>
      </c>
      <c r="T15" s="3">
        <v>1.0</v>
      </c>
      <c r="U15" s="3">
        <v>1.0</v>
      </c>
      <c r="V15" s="3">
        <v>1.0</v>
      </c>
      <c r="W15" s="3">
        <v>1.0</v>
      </c>
      <c r="X15" s="3">
        <v>1.0</v>
      </c>
      <c r="Y15" s="3">
        <v>1.0</v>
      </c>
      <c r="Z15" s="3">
        <v>1.0</v>
      </c>
      <c r="AA15" s="3">
        <v>1.0</v>
      </c>
      <c r="AB15" s="3">
        <v>1.0</v>
      </c>
      <c r="AC15" s="3">
        <v>1.0</v>
      </c>
      <c r="AD15" s="3">
        <v>1.0</v>
      </c>
      <c r="AE15" s="3">
        <v>1.0</v>
      </c>
      <c r="AF15" s="3">
        <v>1.0</v>
      </c>
      <c r="AG15" s="3">
        <v>1.0</v>
      </c>
      <c r="AH15" s="3">
        <v>1.0</v>
      </c>
      <c r="AI15" s="3">
        <v>1.0</v>
      </c>
      <c r="AJ15" s="3">
        <v>1.0</v>
      </c>
      <c r="AK15" s="3">
        <v>1.0</v>
      </c>
    </row>
    <row r="16">
      <c r="A16" s="4" t="s">
        <v>65</v>
      </c>
      <c r="B16" s="3">
        <v>1.0</v>
      </c>
      <c r="C16" s="3">
        <v>1.0</v>
      </c>
      <c r="D16" s="3">
        <v>1.0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1.0</v>
      </c>
      <c r="N16" s="3">
        <v>1.0</v>
      </c>
      <c r="O16" s="3">
        <v>1.0</v>
      </c>
      <c r="P16" s="3">
        <v>1.0</v>
      </c>
      <c r="Q16" s="3">
        <v>1.0</v>
      </c>
      <c r="R16" s="3">
        <v>1.0</v>
      </c>
      <c r="S16" s="3">
        <v>1.0</v>
      </c>
      <c r="T16" s="3">
        <v>1.0</v>
      </c>
      <c r="U16" s="3">
        <v>1.0</v>
      </c>
      <c r="V16" s="3">
        <v>1.0</v>
      </c>
      <c r="W16" s="3">
        <v>1.0</v>
      </c>
      <c r="X16" s="3">
        <v>1.0</v>
      </c>
      <c r="Y16" s="3">
        <v>1.0</v>
      </c>
      <c r="Z16" s="3">
        <v>1.0</v>
      </c>
      <c r="AA16" s="3">
        <v>1.0</v>
      </c>
      <c r="AB16" s="3">
        <v>1.0</v>
      </c>
      <c r="AC16" s="3">
        <v>1.0</v>
      </c>
      <c r="AD16" s="3">
        <v>1.0</v>
      </c>
      <c r="AE16" s="3">
        <v>1.0</v>
      </c>
      <c r="AF16" s="3">
        <v>1.0</v>
      </c>
      <c r="AG16" s="3">
        <v>1.0</v>
      </c>
      <c r="AH16" s="3">
        <v>1.0</v>
      </c>
      <c r="AI16" s="3">
        <v>1.0</v>
      </c>
      <c r="AJ16" s="3">
        <v>1.0</v>
      </c>
      <c r="AK16" s="3">
        <v>1.0</v>
      </c>
    </row>
    <row r="17">
      <c r="A17" s="4" t="s">
        <v>66</v>
      </c>
      <c r="B17" s="3">
        <v>2.0</v>
      </c>
      <c r="C17" s="3">
        <v>2.0</v>
      </c>
      <c r="D17" s="3">
        <v>2.0</v>
      </c>
      <c r="E17" s="3">
        <v>2.0</v>
      </c>
      <c r="F17" s="3">
        <v>2.0</v>
      </c>
      <c r="G17" s="3">
        <v>2.0</v>
      </c>
      <c r="H17" s="3">
        <v>2.0</v>
      </c>
      <c r="I17" s="3">
        <v>2.0</v>
      </c>
      <c r="J17" s="3">
        <v>2.0</v>
      </c>
      <c r="K17" s="3">
        <v>2.0</v>
      </c>
      <c r="L17" s="3">
        <v>2.0</v>
      </c>
      <c r="M17" s="3">
        <v>2.0</v>
      </c>
      <c r="N17" s="3">
        <v>2.0</v>
      </c>
      <c r="O17" s="3">
        <v>2.0</v>
      </c>
      <c r="P17" s="3">
        <v>2.0</v>
      </c>
      <c r="Q17" s="3">
        <v>2.0</v>
      </c>
      <c r="R17" s="3">
        <v>2.0</v>
      </c>
      <c r="S17" s="3">
        <v>2.0</v>
      </c>
      <c r="T17" s="3">
        <v>2.0</v>
      </c>
      <c r="U17" s="3">
        <v>2.0</v>
      </c>
      <c r="V17" s="3">
        <v>2.0</v>
      </c>
      <c r="W17" s="3">
        <v>2.0</v>
      </c>
      <c r="X17" s="3">
        <v>2.0</v>
      </c>
      <c r="Y17" s="3">
        <v>2.0</v>
      </c>
      <c r="Z17" s="3">
        <v>2.0</v>
      </c>
      <c r="AA17" s="3">
        <v>2.0</v>
      </c>
      <c r="AB17" s="3">
        <v>2.0</v>
      </c>
      <c r="AC17" s="3">
        <v>2.0</v>
      </c>
      <c r="AD17" s="3">
        <v>2.0</v>
      </c>
      <c r="AE17" s="3">
        <v>2.0</v>
      </c>
      <c r="AF17" s="3">
        <v>2.0</v>
      </c>
      <c r="AG17" s="3">
        <v>2.0</v>
      </c>
      <c r="AH17" s="3">
        <v>2.0</v>
      </c>
      <c r="AI17" s="3">
        <v>2.0</v>
      </c>
      <c r="AJ17" s="3">
        <v>2.0</v>
      </c>
      <c r="AK17" s="3">
        <v>2.0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/>
      <c r="AM1" s="4"/>
      <c r="AN1" s="19" t="s">
        <v>67</v>
      </c>
    </row>
    <row r="2">
      <c r="A2" s="4" t="s">
        <v>89</v>
      </c>
      <c r="B2" s="7">
        <f t="array" ref="B2:AK32">IF(
    'Pond (Original Data)'!B2:AK32 = "",
    "",
    'Pond (Original Data)'!B2:AK32 / (MMULT(TRANSPOSE(SIGN(ROW('Pond (Original Data)'!B2:AK32))), N('Pond (Original Data)'!B2:AK32)))
  )</f>
        <v>0.4210526316</v>
      </c>
      <c r="C2" s="7">
        <v>0.38095238095238093</v>
      </c>
      <c r="D2" s="7">
        <v>0.38095238095238093</v>
      </c>
      <c r="E2" s="7">
        <v>0.42105263157894735</v>
      </c>
      <c r="F2" s="7">
        <v>0.38095238095238093</v>
      </c>
      <c r="G2" s="7">
        <v>0.38095238095238093</v>
      </c>
      <c r="H2" s="7">
        <v>0.2916666666666667</v>
      </c>
      <c r="I2" s="7">
        <v>0.32</v>
      </c>
      <c r="J2" s="7">
        <v>0.32</v>
      </c>
      <c r="K2" s="7">
        <v>0.175</v>
      </c>
      <c r="L2" s="7">
        <v>0.21951219512195122</v>
      </c>
      <c r="M2" s="7">
        <v>0.2</v>
      </c>
      <c r="N2" s="7">
        <v>0.13953488372093023</v>
      </c>
      <c r="O2" s="7">
        <v>0.1276595744680851</v>
      </c>
      <c r="P2" s="7">
        <v>0.14285714285714285</v>
      </c>
      <c r="Q2" s="7">
        <v>0.13333333333333333</v>
      </c>
      <c r="R2" s="7">
        <v>0.12244897959183673</v>
      </c>
      <c r="S2" s="7">
        <v>0.125</v>
      </c>
      <c r="T2" s="7">
        <v>0.14285714285714285</v>
      </c>
      <c r="U2" s="7">
        <v>0.11764705882352941</v>
      </c>
      <c r="V2" s="7">
        <v>0.12</v>
      </c>
      <c r="W2" s="7">
        <v>0.15384615384615385</v>
      </c>
      <c r="X2" s="7">
        <v>0.13333333333333333</v>
      </c>
      <c r="Y2" s="7">
        <v>0.13636363636363635</v>
      </c>
      <c r="Z2" s="7">
        <v>0.17647058823529413</v>
      </c>
      <c r="AA2" s="7">
        <v>0.13043478260869565</v>
      </c>
      <c r="AB2" s="7">
        <v>0.13043478260869565</v>
      </c>
      <c r="AC2" s="7">
        <v>0.4</v>
      </c>
      <c r="AD2" s="7">
        <v>0.2962962962962963</v>
      </c>
      <c r="AE2" s="7">
        <v>0.2962962962962963</v>
      </c>
      <c r="AF2" s="7">
        <v>0.4</v>
      </c>
      <c r="AG2" s="7">
        <v>0.4117647058823529</v>
      </c>
      <c r="AH2" s="7">
        <v>0.4117647058823529</v>
      </c>
      <c r="AI2" s="7">
        <v>0.3157894736842105</v>
      </c>
      <c r="AJ2" s="7">
        <v>0.3157894736842105</v>
      </c>
      <c r="AK2" s="7">
        <v>0.3157894736842105</v>
      </c>
      <c r="AM2" s="6" t="s">
        <v>89</v>
      </c>
      <c r="AN2" s="8">
        <v>300.0</v>
      </c>
    </row>
    <row r="3">
      <c r="A3" s="4" t="s">
        <v>90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0.14893617021276595</v>
      </c>
      <c r="P3" s="7">
        <v>0.14285714285714285</v>
      </c>
      <c r="Q3" s="7">
        <v>0.0</v>
      </c>
      <c r="R3" s="7">
        <v>0.14285714285714285</v>
      </c>
      <c r="S3" s="7">
        <v>0.14583333333333334</v>
      </c>
      <c r="T3" s="7">
        <v>0.0</v>
      </c>
      <c r="U3" s="7">
        <v>0.1568627450980392</v>
      </c>
      <c r="V3" s="7">
        <v>0.16</v>
      </c>
      <c r="W3" s="7">
        <v>0.0</v>
      </c>
      <c r="X3" s="7">
        <v>0.17777777777777778</v>
      </c>
      <c r="Y3" s="7">
        <v>0.18181818181818182</v>
      </c>
      <c r="Z3" s="7">
        <v>0.0</v>
      </c>
      <c r="AA3" s="7">
        <v>0.30434782608695654</v>
      </c>
      <c r="AB3" s="7">
        <v>0.2608695652173913</v>
      </c>
      <c r="AC3" s="7">
        <v>0.0</v>
      </c>
      <c r="AD3" s="7">
        <v>0.2962962962962963</v>
      </c>
      <c r="AE3" s="7">
        <v>0.2962962962962963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M3" s="6" t="s">
        <v>90</v>
      </c>
      <c r="AN3" s="8">
        <v>800.0</v>
      </c>
    </row>
    <row r="4">
      <c r="A4" s="4" t="s">
        <v>91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0.3</v>
      </c>
      <c r="L4" s="7">
        <v>0.2682926829268293</v>
      </c>
      <c r="M4" s="7">
        <v>0.275</v>
      </c>
      <c r="N4" s="7">
        <v>0.23255813953488372</v>
      </c>
      <c r="O4" s="7">
        <v>0.19148936170212766</v>
      </c>
      <c r="P4" s="7">
        <v>0.1836734693877551</v>
      </c>
      <c r="Q4" s="7">
        <v>0.2222222222222222</v>
      </c>
      <c r="R4" s="7">
        <v>0.16326530612244897</v>
      </c>
      <c r="S4" s="7">
        <v>0.16666666666666666</v>
      </c>
      <c r="T4" s="7">
        <v>0.19047619047619047</v>
      </c>
      <c r="U4" s="7">
        <v>0.17647058823529413</v>
      </c>
      <c r="V4" s="7">
        <v>0.14</v>
      </c>
      <c r="W4" s="7">
        <v>0.2564102564102564</v>
      </c>
      <c r="X4" s="7">
        <v>0.2</v>
      </c>
      <c r="Y4" s="7">
        <v>0.18181818181818182</v>
      </c>
      <c r="Z4" s="7">
        <v>0.23529411764705882</v>
      </c>
      <c r="AA4" s="7">
        <v>0.17391304347826086</v>
      </c>
      <c r="AB4" s="7">
        <v>0.17391304347826086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M4" s="6" t="s">
        <v>101</v>
      </c>
      <c r="AN4" s="8">
        <v>200.0</v>
      </c>
    </row>
    <row r="5">
      <c r="A5" s="4" t="s">
        <v>92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0.20930232558139536</v>
      </c>
      <c r="O5" s="7">
        <v>0.1702127659574468</v>
      </c>
      <c r="P5" s="7">
        <v>0.16326530612244897</v>
      </c>
      <c r="Q5" s="7">
        <v>0.2</v>
      </c>
      <c r="R5" s="7">
        <v>0.1836734693877551</v>
      </c>
      <c r="S5" s="7">
        <v>0.14583333333333334</v>
      </c>
      <c r="T5" s="7">
        <v>0.19047619047619047</v>
      </c>
      <c r="U5" s="7">
        <v>0.17647058823529413</v>
      </c>
      <c r="V5" s="7">
        <v>0.18</v>
      </c>
      <c r="W5" s="7">
        <v>0.20512820512820512</v>
      </c>
      <c r="X5" s="7">
        <v>0.17777777777777778</v>
      </c>
      <c r="Y5" s="7">
        <v>0.1590909090909091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M5" s="6" t="s">
        <v>102</v>
      </c>
      <c r="AN5" s="8">
        <v>120.0</v>
      </c>
    </row>
    <row r="6">
      <c r="A6" s="4" t="s">
        <v>93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0.02040816326530612</v>
      </c>
      <c r="S6" s="7">
        <v>0.041666666666666664</v>
      </c>
      <c r="T6" s="7">
        <v>0.0</v>
      </c>
      <c r="U6" s="7">
        <v>0.0196078431372549</v>
      </c>
      <c r="V6" s="7">
        <v>0.04</v>
      </c>
      <c r="W6" s="7">
        <v>0.0</v>
      </c>
      <c r="X6" s="7">
        <v>0.022222222222222223</v>
      </c>
      <c r="Y6" s="7">
        <v>0.045454545454545456</v>
      </c>
      <c r="Z6" s="7">
        <v>0.0</v>
      </c>
      <c r="AA6" s="7">
        <v>0.043478260869565216</v>
      </c>
      <c r="AB6" s="7">
        <v>0.08695652173913043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M6" s="6" t="s">
        <v>93</v>
      </c>
      <c r="AN6" s="8">
        <v>6000.0</v>
      </c>
    </row>
    <row r="7">
      <c r="A7" s="4" t="s">
        <v>94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0.044444444444444446</v>
      </c>
      <c r="R7" s="7">
        <v>0.0</v>
      </c>
      <c r="S7" s="7">
        <v>0.0</v>
      </c>
      <c r="T7" s="7">
        <v>0.047619047619047616</v>
      </c>
      <c r="U7" s="7">
        <v>0.0</v>
      </c>
      <c r="V7" s="7">
        <v>0.0</v>
      </c>
      <c r="W7" s="7">
        <v>0.05128205128205128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M7" s="6" t="s">
        <v>94</v>
      </c>
      <c r="AN7" s="8">
        <v>5500.0</v>
      </c>
    </row>
    <row r="8">
      <c r="A8" s="4" t="s">
        <v>95</v>
      </c>
      <c r="B8" s="7">
        <v>0.15789473684210525</v>
      </c>
      <c r="C8" s="7">
        <v>0.19047619047619047</v>
      </c>
      <c r="D8" s="7">
        <v>0.19047619047619047</v>
      </c>
      <c r="E8" s="7">
        <v>0.15789473684210525</v>
      </c>
      <c r="F8" s="7">
        <v>0.19047619047619047</v>
      </c>
      <c r="G8" s="7">
        <v>0.19047619047619047</v>
      </c>
      <c r="H8" s="7">
        <v>0.08333333333333333</v>
      </c>
      <c r="I8" s="7">
        <v>0.12</v>
      </c>
      <c r="J8" s="7">
        <v>0.08</v>
      </c>
      <c r="K8" s="7">
        <v>0.05</v>
      </c>
      <c r="L8" s="7">
        <v>0.04878048780487805</v>
      </c>
      <c r="M8" s="7">
        <v>0.05</v>
      </c>
      <c r="N8" s="7">
        <v>0.046511627906976744</v>
      </c>
      <c r="O8" s="7">
        <v>0.0425531914893617</v>
      </c>
      <c r="P8" s="7">
        <v>0.04081632653061224</v>
      </c>
      <c r="Q8" s="7">
        <v>0.044444444444444446</v>
      </c>
      <c r="R8" s="7">
        <v>0.04081632653061224</v>
      </c>
      <c r="S8" s="7">
        <v>0.041666666666666664</v>
      </c>
      <c r="T8" s="7">
        <v>0.047619047619047616</v>
      </c>
      <c r="U8" s="7">
        <v>0.0392156862745098</v>
      </c>
      <c r="V8" s="7">
        <v>0.04</v>
      </c>
      <c r="W8" s="7">
        <v>0.05128205128205128</v>
      </c>
      <c r="X8" s="7">
        <v>0.044444444444444446</v>
      </c>
      <c r="Y8" s="7">
        <v>0.045454545454545456</v>
      </c>
      <c r="Z8" s="7">
        <v>0.11764705882352941</v>
      </c>
      <c r="AA8" s="7">
        <v>0.043478260869565216</v>
      </c>
      <c r="AB8" s="7">
        <v>0.043478260869565216</v>
      </c>
      <c r="AC8" s="7">
        <v>0.1</v>
      </c>
      <c r="AD8" s="7">
        <v>0.07407407407407407</v>
      </c>
      <c r="AE8" s="7">
        <v>0.07407407407407407</v>
      </c>
      <c r="AF8" s="7">
        <v>0.1</v>
      </c>
      <c r="AG8" s="7">
        <v>0.11764705882352941</v>
      </c>
      <c r="AH8" s="7">
        <v>0.11764705882352941</v>
      </c>
      <c r="AI8" s="7">
        <v>0.15789473684210525</v>
      </c>
      <c r="AJ8" s="7">
        <v>0.15789473684210525</v>
      </c>
      <c r="AK8" s="7">
        <v>0.15789473684210525</v>
      </c>
      <c r="AM8" s="6" t="s">
        <v>103</v>
      </c>
      <c r="AN8" s="8">
        <v>1300.0</v>
      </c>
    </row>
    <row r="9">
      <c r="A9" s="4" t="s">
        <v>96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0.1</v>
      </c>
      <c r="L9" s="7">
        <v>0.0975609756097561</v>
      </c>
      <c r="M9" s="7">
        <v>0.1</v>
      </c>
      <c r="N9" s="7">
        <v>0.06976744186046512</v>
      </c>
      <c r="O9" s="7">
        <v>0.06382978723404255</v>
      </c>
      <c r="P9" s="7">
        <v>0.061224489795918366</v>
      </c>
      <c r="Q9" s="7">
        <v>0.06666666666666667</v>
      </c>
      <c r="R9" s="7">
        <v>0.061224489795918366</v>
      </c>
      <c r="S9" s="7">
        <v>0.0625</v>
      </c>
      <c r="T9" s="7">
        <v>0.07142857142857142</v>
      </c>
      <c r="U9" s="7">
        <v>0.058823529411764705</v>
      </c>
      <c r="V9" s="7">
        <v>0.06</v>
      </c>
      <c r="W9" s="7">
        <v>0.07692307692307693</v>
      </c>
      <c r="X9" s="7">
        <v>0.06666666666666667</v>
      </c>
      <c r="Y9" s="7">
        <v>0.06818181818181818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M9" s="6" t="s">
        <v>104</v>
      </c>
      <c r="AN9" s="8">
        <v>300.0</v>
      </c>
    </row>
    <row r="10">
      <c r="A10" s="4" t="s">
        <v>97</v>
      </c>
      <c r="B10" s="7">
        <v>0.0</v>
      </c>
      <c r="C10" s="7">
        <v>0.14285714285714285</v>
      </c>
      <c r="D10" s="7">
        <v>0.14285714285714285</v>
      </c>
      <c r="E10" s="7">
        <v>0.0</v>
      </c>
      <c r="F10" s="7">
        <v>0.14285714285714285</v>
      </c>
      <c r="G10" s="7">
        <v>0.14285714285714285</v>
      </c>
      <c r="H10" s="7">
        <v>0.0</v>
      </c>
      <c r="I10" s="7">
        <v>0.12</v>
      </c>
      <c r="J10" s="7">
        <v>0.12</v>
      </c>
      <c r="K10" s="7">
        <v>0.0</v>
      </c>
      <c r="L10" s="7">
        <v>0.07317073170731707</v>
      </c>
      <c r="M10" s="7">
        <v>0.075</v>
      </c>
      <c r="N10" s="7">
        <v>0.0</v>
      </c>
      <c r="O10" s="7">
        <v>0.02127659574468085</v>
      </c>
      <c r="P10" s="7">
        <v>0.04081632653061224</v>
      </c>
      <c r="Q10" s="7">
        <v>0.0</v>
      </c>
      <c r="R10" s="7">
        <v>0.04081632653061224</v>
      </c>
      <c r="S10" s="7">
        <v>0.041666666666666664</v>
      </c>
      <c r="T10" s="7">
        <v>0.0</v>
      </c>
      <c r="U10" s="7">
        <v>0.0392156862745098</v>
      </c>
      <c r="V10" s="7">
        <v>0.04</v>
      </c>
      <c r="W10" s="7">
        <v>0.0</v>
      </c>
      <c r="X10" s="7">
        <v>0.044444444444444446</v>
      </c>
      <c r="Y10" s="7">
        <v>0.045454545454545456</v>
      </c>
      <c r="Z10" s="7">
        <v>0.0</v>
      </c>
      <c r="AA10" s="7">
        <v>0.043478260869565216</v>
      </c>
      <c r="AB10" s="7">
        <v>0.043478260869565216</v>
      </c>
      <c r="AC10" s="7">
        <v>0.0</v>
      </c>
      <c r="AD10" s="7">
        <v>0.1111111111111111</v>
      </c>
      <c r="AE10" s="7">
        <v>0.1111111111111111</v>
      </c>
      <c r="AF10" s="7">
        <v>0.0</v>
      </c>
      <c r="AG10" s="7">
        <v>0.11764705882352941</v>
      </c>
      <c r="AH10" s="7">
        <v>0.11764705882352941</v>
      </c>
      <c r="AI10" s="7">
        <v>0.0</v>
      </c>
      <c r="AJ10" s="7">
        <v>0.21052631578947367</v>
      </c>
      <c r="AK10" s="7">
        <v>0.21052631578947367</v>
      </c>
      <c r="AM10" s="6" t="s">
        <v>97</v>
      </c>
      <c r="AN10" s="8">
        <v>4000.0</v>
      </c>
    </row>
    <row r="11">
      <c r="A11" s="4" t="s">
        <v>98</v>
      </c>
      <c r="B11" s="7">
        <v>0.05263157894736842</v>
      </c>
      <c r="C11" s="7">
        <v>0.0</v>
      </c>
      <c r="D11" s="7">
        <v>0.0</v>
      </c>
      <c r="E11" s="7">
        <v>0.05263157894736842</v>
      </c>
      <c r="F11" s="7">
        <v>0.0</v>
      </c>
      <c r="G11" s="7">
        <v>0.0</v>
      </c>
      <c r="H11" s="7">
        <v>0.08333333333333333</v>
      </c>
      <c r="I11" s="7">
        <v>0.0</v>
      </c>
      <c r="J11" s="7">
        <v>0.0</v>
      </c>
      <c r="K11" s="7">
        <v>0.05</v>
      </c>
      <c r="L11" s="7">
        <v>0.0</v>
      </c>
      <c r="M11" s="7">
        <v>0.0</v>
      </c>
      <c r="N11" s="7">
        <v>0.023255813953488372</v>
      </c>
      <c r="O11" s="7">
        <v>0.0</v>
      </c>
      <c r="P11" s="7">
        <v>0.0</v>
      </c>
      <c r="Q11" s="7">
        <v>0.022222222222222223</v>
      </c>
      <c r="R11" s="7">
        <v>0.0</v>
      </c>
      <c r="S11" s="7">
        <v>0.0</v>
      </c>
      <c r="T11" s="7">
        <v>0.023809523809523808</v>
      </c>
      <c r="U11" s="7">
        <v>0.0</v>
      </c>
      <c r="V11" s="7">
        <v>0.0</v>
      </c>
      <c r="W11" s="7">
        <v>0.02564102564102564</v>
      </c>
      <c r="X11" s="7">
        <v>0.0</v>
      </c>
      <c r="Y11" s="7">
        <v>0.0</v>
      </c>
      <c r="Z11" s="7">
        <v>0.058823529411764705</v>
      </c>
      <c r="AA11" s="7">
        <v>0.0</v>
      </c>
      <c r="AB11" s="7">
        <v>0.0</v>
      </c>
      <c r="AC11" s="7">
        <v>0.1</v>
      </c>
      <c r="AD11" s="7">
        <v>0.0</v>
      </c>
      <c r="AE11" s="7">
        <v>0.0</v>
      </c>
      <c r="AF11" s="7">
        <v>0.1</v>
      </c>
      <c r="AG11" s="7">
        <v>0.0</v>
      </c>
      <c r="AH11" s="7">
        <v>0.0</v>
      </c>
      <c r="AI11" s="7">
        <v>0.10526315789473684</v>
      </c>
      <c r="AJ11" s="7">
        <v>0.0</v>
      </c>
      <c r="AK11" s="7">
        <v>0.0</v>
      </c>
      <c r="AM11" s="6" t="s">
        <v>98</v>
      </c>
      <c r="AN11" s="8">
        <v>1300.0</v>
      </c>
    </row>
    <row r="12">
      <c r="A12" s="4" t="s">
        <v>99</v>
      </c>
      <c r="B12" s="7">
        <v>0.05263157894736842</v>
      </c>
      <c r="C12" s="7">
        <v>0.0</v>
      </c>
      <c r="D12" s="7">
        <v>0.0</v>
      </c>
      <c r="E12" s="7">
        <v>0.05263157894736842</v>
      </c>
      <c r="F12" s="7">
        <v>0.0</v>
      </c>
      <c r="G12" s="7">
        <v>0.0</v>
      </c>
      <c r="H12" s="7">
        <v>0.041666666666666664</v>
      </c>
      <c r="I12" s="7">
        <v>0.0</v>
      </c>
      <c r="J12" s="7">
        <v>0.0</v>
      </c>
      <c r="K12" s="7">
        <v>0.025</v>
      </c>
      <c r="L12" s="7">
        <v>0.0</v>
      </c>
      <c r="M12" s="7">
        <v>0.0</v>
      </c>
      <c r="N12" s="7">
        <v>0.023255813953488372</v>
      </c>
      <c r="O12" s="7">
        <v>0.0</v>
      </c>
      <c r="P12" s="7">
        <v>0.0</v>
      </c>
      <c r="Q12" s="7">
        <v>0.022222222222222223</v>
      </c>
      <c r="R12" s="7">
        <v>0.0</v>
      </c>
      <c r="S12" s="7">
        <v>0.0</v>
      </c>
      <c r="T12" s="7">
        <v>0.023809523809523808</v>
      </c>
      <c r="U12" s="7">
        <v>0.0</v>
      </c>
      <c r="V12" s="7">
        <v>0.0</v>
      </c>
      <c r="W12" s="7">
        <v>0.02564102564102564</v>
      </c>
      <c r="X12" s="7">
        <v>0.0</v>
      </c>
      <c r="Y12" s="7">
        <v>0.0</v>
      </c>
      <c r="Z12" s="7">
        <v>0.058823529411764705</v>
      </c>
      <c r="AA12" s="7">
        <v>0.0</v>
      </c>
      <c r="AB12" s="7">
        <v>0.0</v>
      </c>
      <c r="AC12" s="7">
        <v>0.1</v>
      </c>
      <c r="AD12" s="7">
        <v>0.0</v>
      </c>
      <c r="AE12" s="7">
        <v>0.0</v>
      </c>
      <c r="AF12" s="7">
        <v>0.1</v>
      </c>
      <c r="AG12" s="7">
        <v>0.0</v>
      </c>
      <c r="AH12" s="7">
        <v>0.0</v>
      </c>
      <c r="AI12" s="7">
        <v>0.10526315789473684</v>
      </c>
      <c r="AJ12" s="7">
        <v>0.0</v>
      </c>
      <c r="AK12" s="7">
        <v>0.0</v>
      </c>
      <c r="AM12" s="6" t="s">
        <v>99</v>
      </c>
      <c r="AN12" s="8">
        <v>4500.0</v>
      </c>
    </row>
    <row r="13">
      <c r="A13" s="4" t="s">
        <v>100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0.25</v>
      </c>
      <c r="I13" s="7">
        <v>0.2</v>
      </c>
      <c r="J13" s="7">
        <v>0.24</v>
      </c>
      <c r="K13" s="7">
        <v>0.15</v>
      </c>
      <c r="L13" s="7">
        <v>0.14634146341463414</v>
      </c>
      <c r="M13" s="7">
        <v>0.15</v>
      </c>
      <c r="N13" s="7">
        <v>0.11627906976744186</v>
      </c>
      <c r="O13" s="7">
        <v>0.10638297872340426</v>
      </c>
      <c r="P13" s="7">
        <v>0.10204081632653061</v>
      </c>
      <c r="Q13" s="7">
        <v>0.1111111111111111</v>
      </c>
      <c r="R13" s="7">
        <v>0.10204081632653061</v>
      </c>
      <c r="S13" s="7">
        <v>0.10416666666666667</v>
      </c>
      <c r="T13" s="7">
        <v>0.11904761904761904</v>
      </c>
      <c r="U13" s="7">
        <v>0.09803921568627451</v>
      </c>
      <c r="V13" s="7">
        <v>0.1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M13" s="6" t="s">
        <v>100</v>
      </c>
      <c r="AN13" s="8">
        <v>100.0</v>
      </c>
    </row>
    <row r="14">
      <c r="A14" s="4" t="s">
        <v>63</v>
      </c>
      <c r="B14" s="7">
        <v>0.10526315789473684</v>
      </c>
      <c r="C14" s="7">
        <v>0.09523809523809523</v>
      </c>
      <c r="D14" s="7">
        <v>0.09523809523809523</v>
      </c>
      <c r="E14" s="7">
        <v>0.10526315789473684</v>
      </c>
      <c r="F14" s="7">
        <v>0.09523809523809523</v>
      </c>
      <c r="G14" s="7">
        <v>0.09523809523809523</v>
      </c>
      <c r="H14" s="7">
        <v>0.08333333333333333</v>
      </c>
      <c r="I14" s="7">
        <v>0.08</v>
      </c>
      <c r="J14" s="7">
        <v>0.08</v>
      </c>
      <c r="K14" s="7">
        <v>0.05</v>
      </c>
      <c r="L14" s="7">
        <v>0.04878048780487805</v>
      </c>
      <c r="M14" s="7">
        <v>0.05</v>
      </c>
      <c r="N14" s="7">
        <v>0.046511627906976744</v>
      </c>
      <c r="O14" s="7">
        <v>0.0425531914893617</v>
      </c>
      <c r="P14" s="7">
        <v>0.04081632653061224</v>
      </c>
      <c r="Q14" s="7">
        <v>0.044444444444444446</v>
      </c>
      <c r="R14" s="7">
        <v>0.04081632653061224</v>
      </c>
      <c r="S14" s="7">
        <v>0.041666666666666664</v>
      </c>
      <c r="T14" s="7">
        <v>0.047619047619047616</v>
      </c>
      <c r="U14" s="7">
        <v>0.0392156862745098</v>
      </c>
      <c r="V14" s="7">
        <v>0.04</v>
      </c>
      <c r="W14" s="7">
        <v>0.05128205128205128</v>
      </c>
      <c r="X14" s="7">
        <v>0.044444444444444446</v>
      </c>
      <c r="Y14" s="7">
        <v>0.045454545454545456</v>
      </c>
      <c r="Z14" s="7">
        <v>0.11764705882352941</v>
      </c>
      <c r="AA14" s="7">
        <v>0.08695652173913043</v>
      </c>
      <c r="AB14" s="7">
        <v>0.08695652173913043</v>
      </c>
      <c r="AC14" s="7">
        <v>0.1</v>
      </c>
      <c r="AD14" s="7">
        <v>0.07407407407407407</v>
      </c>
      <c r="AE14" s="7">
        <v>0.07407407407407407</v>
      </c>
      <c r="AF14" s="7">
        <v>0.1</v>
      </c>
      <c r="AG14" s="7">
        <v>0.11764705882352941</v>
      </c>
      <c r="AH14" s="7">
        <v>0.11764705882352941</v>
      </c>
      <c r="AI14" s="7">
        <v>0.10526315789473684</v>
      </c>
      <c r="AJ14" s="7">
        <v>0.10526315789473684</v>
      </c>
      <c r="AK14" s="7">
        <v>0.10526315789473684</v>
      </c>
      <c r="AL14" s="4"/>
      <c r="AM14" s="4" t="s">
        <v>63</v>
      </c>
      <c r="AN14" s="9">
        <v>10.0</v>
      </c>
    </row>
    <row r="15">
      <c r="A15" s="4" t="s">
        <v>64</v>
      </c>
      <c r="B15" s="7">
        <v>0.05263157894736842</v>
      </c>
      <c r="C15" s="7">
        <v>0.047619047619047616</v>
      </c>
      <c r="D15" s="7">
        <v>0.047619047619047616</v>
      </c>
      <c r="E15" s="7">
        <v>0.05263157894736842</v>
      </c>
      <c r="F15" s="7">
        <v>0.047619047619047616</v>
      </c>
      <c r="G15" s="7">
        <v>0.047619047619047616</v>
      </c>
      <c r="H15" s="7">
        <v>0.041666666666666664</v>
      </c>
      <c r="I15" s="7">
        <v>0.04</v>
      </c>
      <c r="J15" s="7">
        <v>0.04</v>
      </c>
      <c r="K15" s="7">
        <v>0.025</v>
      </c>
      <c r="L15" s="7">
        <v>0.024390243902439025</v>
      </c>
      <c r="M15" s="7">
        <v>0.025</v>
      </c>
      <c r="N15" s="7">
        <v>0.023255813953488372</v>
      </c>
      <c r="O15" s="7">
        <v>0.02127659574468085</v>
      </c>
      <c r="P15" s="7">
        <v>0.02040816326530612</v>
      </c>
      <c r="Q15" s="7">
        <v>0.022222222222222223</v>
      </c>
      <c r="R15" s="7">
        <v>0.02040816326530612</v>
      </c>
      <c r="S15" s="7">
        <v>0.020833333333333332</v>
      </c>
      <c r="T15" s="7">
        <v>0.023809523809523808</v>
      </c>
      <c r="U15" s="7">
        <v>0.0196078431372549</v>
      </c>
      <c r="V15" s="7">
        <v>0.02</v>
      </c>
      <c r="W15" s="7">
        <v>0.02564102564102564</v>
      </c>
      <c r="X15" s="7">
        <v>0.022222222222222223</v>
      </c>
      <c r="Y15" s="7">
        <v>0.022727272727272728</v>
      </c>
      <c r="Z15" s="7">
        <v>0.058823529411764705</v>
      </c>
      <c r="AA15" s="7">
        <v>0.043478260869565216</v>
      </c>
      <c r="AB15" s="7">
        <v>0.043478260869565216</v>
      </c>
      <c r="AC15" s="7">
        <v>0.05</v>
      </c>
      <c r="AD15" s="7">
        <v>0.037037037037037035</v>
      </c>
      <c r="AE15" s="7">
        <v>0.037037037037037035</v>
      </c>
      <c r="AF15" s="7">
        <v>0.05</v>
      </c>
      <c r="AG15" s="7">
        <v>0.058823529411764705</v>
      </c>
      <c r="AH15" s="7">
        <v>0.058823529411764705</v>
      </c>
      <c r="AI15" s="7">
        <v>0.05263157894736842</v>
      </c>
      <c r="AJ15" s="7">
        <v>0.05263157894736842</v>
      </c>
      <c r="AK15" s="7">
        <v>0.05263157894736842</v>
      </c>
      <c r="AL15" s="4"/>
      <c r="AM15" s="4" t="s">
        <v>64</v>
      </c>
      <c r="AN15" s="9">
        <v>10.0</v>
      </c>
    </row>
    <row r="16">
      <c r="A16" s="4" t="s">
        <v>65</v>
      </c>
      <c r="B16" s="7">
        <v>0.05263157894736842</v>
      </c>
      <c r="C16" s="7">
        <v>0.047619047619047616</v>
      </c>
      <c r="D16" s="7">
        <v>0.047619047619047616</v>
      </c>
      <c r="E16" s="7">
        <v>0.05263157894736842</v>
      </c>
      <c r="F16" s="7">
        <v>0.047619047619047616</v>
      </c>
      <c r="G16" s="7">
        <v>0.047619047619047616</v>
      </c>
      <c r="H16" s="7">
        <v>0.041666666666666664</v>
      </c>
      <c r="I16" s="7">
        <v>0.04</v>
      </c>
      <c r="J16" s="7">
        <v>0.04</v>
      </c>
      <c r="K16" s="7">
        <v>0.025</v>
      </c>
      <c r="L16" s="7">
        <v>0.024390243902439025</v>
      </c>
      <c r="M16" s="7">
        <v>0.025</v>
      </c>
      <c r="N16" s="7">
        <v>0.023255813953488372</v>
      </c>
      <c r="O16" s="7">
        <v>0.02127659574468085</v>
      </c>
      <c r="P16" s="7">
        <v>0.02040816326530612</v>
      </c>
      <c r="Q16" s="7">
        <v>0.022222222222222223</v>
      </c>
      <c r="R16" s="7">
        <v>0.02040816326530612</v>
      </c>
      <c r="S16" s="7">
        <v>0.020833333333333332</v>
      </c>
      <c r="T16" s="7">
        <v>0.023809523809523808</v>
      </c>
      <c r="U16" s="7">
        <v>0.0196078431372549</v>
      </c>
      <c r="V16" s="7">
        <v>0.02</v>
      </c>
      <c r="W16" s="7">
        <v>0.02564102564102564</v>
      </c>
      <c r="X16" s="7">
        <v>0.022222222222222223</v>
      </c>
      <c r="Y16" s="7">
        <v>0.022727272727272728</v>
      </c>
      <c r="Z16" s="7">
        <v>0.058823529411764705</v>
      </c>
      <c r="AA16" s="7">
        <v>0.043478260869565216</v>
      </c>
      <c r="AB16" s="7">
        <v>0.043478260869565216</v>
      </c>
      <c r="AC16" s="7">
        <v>0.05</v>
      </c>
      <c r="AD16" s="7">
        <v>0.037037037037037035</v>
      </c>
      <c r="AE16" s="7">
        <v>0.037037037037037035</v>
      </c>
      <c r="AF16" s="7">
        <v>0.05</v>
      </c>
      <c r="AG16" s="7">
        <v>0.058823529411764705</v>
      </c>
      <c r="AH16" s="7">
        <v>0.058823529411764705</v>
      </c>
      <c r="AI16" s="7">
        <v>0.05263157894736842</v>
      </c>
      <c r="AJ16" s="7">
        <v>0.05263157894736842</v>
      </c>
      <c r="AK16" s="7">
        <v>0.05263157894736842</v>
      </c>
      <c r="AL16" s="4"/>
      <c r="AM16" s="4" t="s">
        <v>65</v>
      </c>
      <c r="AN16" s="9">
        <v>10.0</v>
      </c>
    </row>
    <row r="17">
      <c r="A17" s="4" t="s">
        <v>66</v>
      </c>
      <c r="B17" s="7">
        <v>0.10526315789473684</v>
      </c>
      <c r="C17" s="7">
        <v>0.09523809523809523</v>
      </c>
      <c r="D17" s="7">
        <v>0.09523809523809523</v>
      </c>
      <c r="E17" s="7">
        <v>0.10526315789473684</v>
      </c>
      <c r="F17" s="7">
        <v>0.09523809523809523</v>
      </c>
      <c r="G17" s="7">
        <v>0.09523809523809523</v>
      </c>
      <c r="H17" s="7">
        <v>0.08333333333333333</v>
      </c>
      <c r="I17" s="7">
        <v>0.08</v>
      </c>
      <c r="J17" s="7">
        <v>0.08</v>
      </c>
      <c r="K17" s="7">
        <v>0.05</v>
      </c>
      <c r="L17" s="7">
        <v>0.04878048780487805</v>
      </c>
      <c r="M17" s="7">
        <v>0.05</v>
      </c>
      <c r="N17" s="7">
        <v>0.046511627906976744</v>
      </c>
      <c r="O17" s="7">
        <v>0.0425531914893617</v>
      </c>
      <c r="P17" s="7">
        <v>0.04081632653061224</v>
      </c>
      <c r="Q17" s="7">
        <v>0.044444444444444446</v>
      </c>
      <c r="R17" s="7">
        <v>0.04081632653061224</v>
      </c>
      <c r="S17" s="7">
        <v>0.041666666666666664</v>
      </c>
      <c r="T17" s="7">
        <v>0.047619047619047616</v>
      </c>
      <c r="U17" s="7">
        <v>0.0392156862745098</v>
      </c>
      <c r="V17" s="7">
        <v>0.04</v>
      </c>
      <c r="W17" s="7">
        <v>0.05128205128205128</v>
      </c>
      <c r="X17" s="7">
        <v>0.044444444444444446</v>
      </c>
      <c r="Y17" s="7">
        <v>0.045454545454545456</v>
      </c>
      <c r="Z17" s="7">
        <v>0.11764705882352941</v>
      </c>
      <c r="AA17" s="7">
        <v>0.08695652173913043</v>
      </c>
      <c r="AB17" s="7">
        <v>0.08695652173913043</v>
      </c>
      <c r="AC17" s="7">
        <v>0.1</v>
      </c>
      <c r="AD17" s="7">
        <v>0.07407407407407407</v>
      </c>
      <c r="AE17" s="7">
        <v>0.07407407407407407</v>
      </c>
      <c r="AF17" s="7">
        <v>0.1</v>
      </c>
      <c r="AG17" s="7">
        <v>0.11764705882352941</v>
      </c>
      <c r="AH17" s="7">
        <v>0.11764705882352941</v>
      </c>
      <c r="AI17" s="7">
        <v>0.10526315789473684</v>
      </c>
      <c r="AJ17" s="7">
        <v>0.10526315789473684</v>
      </c>
      <c r="AK17" s="7">
        <v>0.10526315789473684</v>
      </c>
      <c r="AL17" s="4"/>
      <c r="AM17" s="4" t="s">
        <v>66</v>
      </c>
      <c r="AN17" s="9">
        <v>10.0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89</v>
      </c>
      <c r="B2" s="7">
        <f t="array" ref="B2:AK17">N('Pond (Adjusted)'!B2:AK17) * N('Pond (Adjusted)'!AN2:AN17)</f>
        <v>126.3157895</v>
      </c>
      <c r="C2" s="7">
        <v>114.28571428571428</v>
      </c>
      <c r="D2" s="7">
        <v>114.28571428571428</v>
      </c>
      <c r="E2" s="7">
        <v>126.3157894736842</v>
      </c>
      <c r="F2" s="7">
        <v>114.28571428571428</v>
      </c>
      <c r="G2" s="7">
        <v>114.28571428571428</v>
      </c>
      <c r="H2" s="7">
        <v>87.5</v>
      </c>
      <c r="I2" s="7">
        <v>96.0</v>
      </c>
      <c r="J2" s="7">
        <v>96.0</v>
      </c>
      <c r="K2" s="7">
        <v>52.5</v>
      </c>
      <c r="L2" s="7">
        <v>65.85365853658537</v>
      </c>
      <c r="M2" s="7">
        <v>60.0</v>
      </c>
      <c r="N2" s="7">
        <v>41.860465116279066</v>
      </c>
      <c r="O2" s="7">
        <v>38.29787234042553</v>
      </c>
      <c r="P2" s="7">
        <v>42.857142857142854</v>
      </c>
      <c r="Q2" s="7">
        <v>40.0</v>
      </c>
      <c r="R2" s="7">
        <v>36.73469387755102</v>
      </c>
      <c r="S2" s="7">
        <v>37.5</v>
      </c>
      <c r="T2" s="7">
        <v>42.857142857142854</v>
      </c>
      <c r="U2" s="7">
        <v>35.294117647058826</v>
      </c>
      <c r="V2" s="7">
        <v>36.0</v>
      </c>
      <c r="W2" s="7">
        <v>46.15384615384615</v>
      </c>
      <c r="X2" s="7">
        <v>40.0</v>
      </c>
      <c r="Y2" s="7">
        <v>40.90909090909091</v>
      </c>
      <c r="Z2" s="7">
        <v>52.94117647058824</v>
      </c>
      <c r="AA2" s="7">
        <v>39.130434782608695</v>
      </c>
      <c r="AB2" s="7">
        <v>39.130434782608695</v>
      </c>
      <c r="AC2" s="7">
        <v>120.0</v>
      </c>
      <c r="AD2" s="7">
        <v>88.88888888888889</v>
      </c>
      <c r="AE2" s="7">
        <v>88.88888888888889</v>
      </c>
      <c r="AF2" s="7">
        <v>120.0</v>
      </c>
      <c r="AG2" s="7">
        <v>123.52941176470587</v>
      </c>
      <c r="AH2" s="7">
        <v>123.52941176470587</v>
      </c>
      <c r="AI2" s="7">
        <v>94.73684210526315</v>
      </c>
      <c r="AJ2" s="7">
        <v>94.73684210526315</v>
      </c>
      <c r="AK2" s="7">
        <v>94.73684210526315</v>
      </c>
    </row>
    <row r="3">
      <c r="A3" s="4" t="s">
        <v>90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119.14893617021276</v>
      </c>
      <c r="P3" s="7">
        <v>114.28571428571428</v>
      </c>
      <c r="Q3" s="7">
        <v>0.0</v>
      </c>
      <c r="R3" s="7">
        <v>114.28571428571428</v>
      </c>
      <c r="S3" s="7">
        <v>116.66666666666667</v>
      </c>
      <c r="T3" s="7">
        <v>0.0</v>
      </c>
      <c r="U3" s="7">
        <v>125.49019607843137</v>
      </c>
      <c r="V3" s="7">
        <v>128.0</v>
      </c>
      <c r="W3" s="7">
        <v>0.0</v>
      </c>
      <c r="X3" s="7">
        <v>142.22222222222223</v>
      </c>
      <c r="Y3" s="7">
        <v>145.45454545454547</v>
      </c>
      <c r="Z3" s="7">
        <v>0.0</v>
      </c>
      <c r="AA3" s="7">
        <v>243.47826086956525</v>
      </c>
      <c r="AB3" s="7">
        <v>208.69565217391303</v>
      </c>
      <c r="AC3" s="7">
        <v>0.0</v>
      </c>
      <c r="AD3" s="7">
        <v>237.037037037037</v>
      </c>
      <c r="AE3" s="7">
        <v>237.037037037037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91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60.0</v>
      </c>
      <c r="L4" s="7">
        <v>53.65853658536586</v>
      </c>
      <c r="M4" s="7">
        <v>55.00000000000001</v>
      </c>
      <c r="N4" s="7">
        <v>46.51162790697674</v>
      </c>
      <c r="O4" s="7">
        <v>38.297872340425535</v>
      </c>
      <c r="P4" s="7">
        <v>36.734693877551024</v>
      </c>
      <c r="Q4" s="7">
        <v>44.44444444444444</v>
      </c>
      <c r="R4" s="7">
        <v>32.6530612244898</v>
      </c>
      <c r="S4" s="7">
        <v>33.33333333333333</v>
      </c>
      <c r="T4" s="7">
        <v>38.095238095238095</v>
      </c>
      <c r="U4" s="7">
        <v>35.294117647058826</v>
      </c>
      <c r="V4" s="7">
        <v>28.000000000000004</v>
      </c>
      <c r="W4" s="7">
        <v>51.28205128205128</v>
      </c>
      <c r="X4" s="7">
        <v>40.0</v>
      </c>
      <c r="Y4" s="7">
        <v>36.36363636363637</v>
      </c>
      <c r="Z4" s="7">
        <v>47.05882352941176</v>
      </c>
      <c r="AA4" s="7">
        <v>34.78260869565217</v>
      </c>
      <c r="AB4" s="7">
        <v>34.78260869565217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92</v>
      </c>
      <c r="B5" s="7">
        <v>0.0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25.116279069767444</v>
      </c>
      <c r="O5" s="7">
        <v>20.425531914893618</v>
      </c>
      <c r="P5" s="7">
        <v>19.591836734693874</v>
      </c>
      <c r="Q5" s="7">
        <v>24.0</v>
      </c>
      <c r="R5" s="7">
        <v>22.040816326530614</v>
      </c>
      <c r="S5" s="7">
        <v>17.5</v>
      </c>
      <c r="T5" s="7">
        <v>22.857142857142854</v>
      </c>
      <c r="U5" s="7">
        <v>21.176470588235297</v>
      </c>
      <c r="V5" s="7">
        <v>21.599999999999998</v>
      </c>
      <c r="W5" s="7">
        <v>24.615384615384613</v>
      </c>
      <c r="X5" s="7">
        <v>21.333333333333336</v>
      </c>
      <c r="Y5" s="7">
        <v>19.09090909090909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</row>
    <row r="6">
      <c r="A6" s="4" t="s">
        <v>93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122.44897959183672</v>
      </c>
      <c r="S6" s="7">
        <v>250.0</v>
      </c>
      <c r="T6" s="7">
        <v>0.0</v>
      </c>
      <c r="U6" s="7">
        <v>117.6470588235294</v>
      </c>
      <c r="V6" s="7">
        <v>240.0</v>
      </c>
      <c r="W6" s="7">
        <v>0.0</v>
      </c>
      <c r="X6" s="7">
        <v>133.33333333333334</v>
      </c>
      <c r="Y6" s="7">
        <v>272.72727272727275</v>
      </c>
      <c r="Z6" s="7">
        <v>0.0</v>
      </c>
      <c r="AA6" s="7">
        <v>260.8695652173913</v>
      </c>
      <c r="AB6" s="7">
        <v>521.7391304347826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</row>
    <row r="7">
      <c r="A7" s="4" t="s">
        <v>94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244.44444444444446</v>
      </c>
      <c r="R7" s="7">
        <v>0.0</v>
      </c>
      <c r="S7" s="7">
        <v>0.0</v>
      </c>
      <c r="T7" s="7">
        <v>261.90476190476187</v>
      </c>
      <c r="U7" s="7">
        <v>0.0</v>
      </c>
      <c r="V7" s="7">
        <v>0.0</v>
      </c>
      <c r="W7" s="7">
        <v>282.05128205128204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</row>
    <row r="8">
      <c r="A8" s="4" t="s">
        <v>95</v>
      </c>
      <c r="B8" s="7">
        <v>205.26315789473682</v>
      </c>
      <c r="C8" s="7">
        <v>247.6190476190476</v>
      </c>
      <c r="D8" s="7">
        <v>247.6190476190476</v>
      </c>
      <c r="E8" s="7">
        <v>205.26315789473682</v>
      </c>
      <c r="F8" s="7">
        <v>247.6190476190476</v>
      </c>
      <c r="G8" s="7">
        <v>247.6190476190476</v>
      </c>
      <c r="H8" s="7">
        <v>108.33333333333333</v>
      </c>
      <c r="I8" s="7">
        <v>156.0</v>
      </c>
      <c r="J8" s="7">
        <v>104.0</v>
      </c>
      <c r="K8" s="7">
        <v>65.0</v>
      </c>
      <c r="L8" s="7">
        <v>63.41463414634146</v>
      </c>
      <c r="M8" s="7">
        <v>65.0</v>
      </c>
      <c r="N8" s="7">
        <v>60.46511627906977</v>
      </c>
      <c r="O8" s="7">
        <v>55.31914893617021</v>
      </c>
      <c r="P8" s="7">
        <v>53.06122448979591</v>
      </c>
      <c r="Q8" s="7">
        <v>57.77777777777778</v>
      </c>
      <c r="R8" s="7">
        <v>53.06122448979591</v>
      </c>
      <c r="S8" s="7">
        <v>54.166666666666664</v>
      </c>
      <c r="T8" s="7">
        <v>61.9047619047619</v>
      </c>
      <c r="U8" s="7">
        <v>50.98039215686274</v>
      </c>
      <c r="V8" s="7">
        <v>52.0</v>
      </c>
      <c r="W8" s="7">
        <v>66.66666666666667</v>
      </c>
      <c r="X8" s="7">
        <v>57.77777777777778</v>
      </c>
      <c r="Y8" s="7">
        <v>59.09090909090909</v>
      </c>
      <c r="Z8" s="7">
        <v>152.94117647058823</v>
      </c>
      <c r="AA8" s="7">
        <v>56.52173913043478</v>
      </c>
      <c r="AB8" s="7">
        <v>56.52173913043478</v>
      </c>
      <c r="AC8" s="7">
        <v>130.0</v>
      </c>
      <c r="AD8" s="7">
        <v>96.29629629629629</v>
      </c>
      <c r="AE8" s="7">
        <v>96.29629629629629</v>
      </c>
      <c r="AF8" s="7">
        <v>130.0</v>
      </c>
      <c r="AG8" s="7">
        <v>152.94117647058823</v>
      </c>
      <c r="AH8" s="7">
        <v>152.94117647058823</v>
      </c>
      <c r="AI8" s="7">
        <v>205.26315789473682</v>
      </c>
      <c r="AJ8" s="7">
        <v>205.26315789473682</v>
      </c>
      <c r="AK8" s="7">
        <v>205.26315789473682</v>
      </c>
    </row>
    <row r="9">
      <c r="A9" s="4" t="s">
        <v>96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30.0</v>
      </c>
      <c r="L9" s="7">
        <v>29.26829268292683</v>
      </c>
      <c r="M9" s="7">
        <v>30.0</v>
      </c>
      <c r="N9" s="7">
        <v>20.930232558139533</v>
      </c>
      <c r="O9" s="7">
        <v>19.148936170212764</v>
      </c>
      <c r="P9" s="7">
        <v>18.36734693877551</v>
      </c>
      <c r="Q9" s="7">
        <v>20.0</v>
      </c>
      <c r="R9" s="7">
        <v>18.36734693877551</v>
      </c>
      <c r="S9" s="7">
        <v>18.75</v>
      </c>
      <c r="T9" s="7">
        <v>21.428571428571427</v>
      </c>
      <c r="U9" s="7">
        <v>17.647058823529413</v>
      </c>
      <c r="V9" s="7">
        <v>18.0</v>
      </c>
      <c r="W9" s="7">
        <v>23.076923076923077</v>
      </c>
      <c r="X9" s="7">
        <v>20.0</v>
      </c>
      <c r="Y9" s="7">
        <v>20.454545454545453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</row>
    <row r="10">
      <c r="A10" s="4" t="s">
        <v>97</v>
      </c>
      <c r="B10" s="7">
        <v>0.0</v>
      </c>
      <c r="C10" s="7">
        <v>571.4285714285714</v>
      </c>
      <c r="D10" s="7">
        <v>571.4285714285714</v>
      </c>
      <c r="E10" s="7">
        <v>0.0</v>
      </c>
      <c r="F10" s="7">
        <v>571.4285714285714</v>
      </c>
      <c r="G10" s="7">
        <v>571.4285714285714</v>
      </c>
      <c r="H10" s="7">
        <v>0.0</v>
      </c>
      <c r="I10" s="7">
        <v>480.0</v>
      </c>
      <c r="J10" s="7">
        <v>480.0</v>
      </c>
      <c r="K10" s="7">
        <v>0.0</v>
      </c>
      <c r="L10" s="7">
        <v>292.6829268292683</v>
      </c>
      <c r="M10" s="7">
        <v>300.0</v>
      </c>
      <c r="N10" s="7">
        <v>0.0</v>
      </c>
      <c r="O10" s="7">
        <v>85.1063829787234</v>
      </c>
      <c r="P10" s="7">
        <v>163.26530612244898</v>
      </c>
      <c r="Q10" s="7">
        <v>0.0</v>
      </c>
      <c r="R10" s="7">
        <v>163.26530612244898</v>
      </c>
      <c r="S10" s="7">
        <v>166.66666666666666</v>
      </c>
      <c r="T10" s="7">
        <v>0.0</v>
      </c>
      <c r="U10" s="7">
        <v>156.86274509803923</v>
      </c>
      <c r="V10" s="7">
        <v>160.0</v>
      </c>
      <c r="W10" s="7">
        <v>0.0</v>
      </c>
      <c r="X10" s="7">
        <v>177.77777777777777</v>
      </c>
      <c r="Y10" s="7">
        <v>181.8181818181818</v>
      </c>
      <c r="Z10" s="7">
        <v>0.0</v>
      </c>
      <c r="AA10" s="7">
        <v>173.91304347826087</v>
      </c>
      <c r="AB10" s="7">
        <v>173.91304347826087</v>
      </c>
      <c r="AC10" s="7">
        <v>0.0</v>
      </c>
      <c r="AD10" s="7">
        <v>444.4444444444444</v>
      </c>
      <c r="AE10" s="7">
        <v>444.4444444444444</v>
      </c>
      <c r="AF10" s="7">
        <v>0.0</v>
      </c>
      <c r="AG10" s="7">
        <v>470.5882352941176</v>
      </c>
      <c r="AH10" s="7">
        <v>470.5882352941176</v>
      </c>
      <c r="AI10" s="7">
        <v>0.0</v>
      </c>
      <c r="AJ10" s="7">
        <v>842.1052631578947</v>
      </c>
      <c r="AK10" s="7">
        <v>842.1052631578947</v>
      </c>
    </row>
    <row r="11">
      <c r="A11" s="4" t="s">
        <v>98</v>
      </c>
      <c r="B11" s="7">
        <v>68.42105263157895</v>
      </c>
      <c r="C11" s="7">
        <v>0.0</v>
      </c>
      <c r="D11" s="7">
        <v>0.0</v>
      </c>
      <c r="E11" s="7">
        <v>68.42105263157895</v>
      </c>
      <c r="F11" s="7">
        <v>0.0</v>
      </c>
      <c r="G11" s="7">
        <v>0.0</v>
      </c>
      <c r="H11" s="7">
        <v>108.33333333333333</v>
      </c>
      <c r="I11" s="7">
        <v>0.0</v>
      </c>
      <c r="J11" s="7">
        <v>0.0</v>
      </c>
      <c r="K11" s="7">
        <v>65.0</v>
      </c>
      <c r="L11" s="7">
        <v>0.0</v>
      </c>
      <c r="M11" s="7">
        <v>0.0</v>
      </c>
      <c r="N11" s="7">
        <v>30.232558139534884</v>
      </c>
      <c r="O11" s="7">
        <v>0.0</v>
      </c>
      <c r="P11" s="7">
        <v>0.0</v>
      </c>
      <c r="Q11" s="7">
        <v>28.88888888888889</v>
      </c>
      <c r="R11" s="7">
        <v>0.0</v>
      </c>
      <c r="S11" s="7">
        <v>0.0</v>
      </c>
      <c r="T11" s="7">
        <v>30.95238095238095</v>
      </c>
      <c r="U11" s="7">
        <v>0.0</v>
      </c>
      <c r="V11" s="7">
        <v>0.0</v>
      </c>
      <c r="W11" s="7">
        <v>33.333333333333336</v>
      </c>
      <c r="X11" s="7">
        <v>0.0</v>
      </c>
      <c r="Y11" s="7">
        <v>0.0</v>
      </c>
      <c r="Z11" s="7">
        <v>76.47058823529412</v>
      </c>
      <c r="AA11" s="7">
        <v>0.0</v>
      </c>
      <c r="AB11" s="7">
        <v>0.0</v>
      </c>
      <c r="AC11" s="7">
        <v>130.0</v>
      </c>
      <c r="AD11" s="7">
        <v>0.0</v>
      </c>
      <c r="AE11" s="7">
        <v>0.0</v>
      </c>
      <c r="AF11" s="7">
        <v>130.0</v>
      </c>
      <c r="AG11" s="7">
        <v>0.0</v>
      </c>
      <c r="AH11" s="7">
        <v>0.0</v>
      </c>
      <c r="AI11" s="7">
        <v>136.8421052631579</v>
      </c>
      <c r="AJ11" s="7">
        <v>0.0</v>
      </c>
      <c r="AK11" s="7">
        <v>0.0</v>
      </c>
    </row>
    <row r="12">
      <c r="A12" s="4" t="s">
        <v>99</v>
      </c>
      <c r="B12" s="7">
        <v>236.8421052631579</v>
      </c>
      <c r="C12" s="7">
        <v>0.0</v>
      </c>
      <c r="D12" s="7">
        <v>0.0</v>
      </c>
      <c r="E12" s="7">
        <v>236.8421052631579</v>
      </c>
      <c r="F12" s="7">
        <v>0.0</v>
      </c>
      <c r="G12" s="7">
        <v>0.0</v>
      </c>
      <c r="H12" s="7">
        <v>187.5</v>
      </c>
      <c r="I12" s="7">
        <v>0.0</v>
      </c>
      <c r="J12" s="7">
        <v>0.0</v>
      </c>
      <c r="K12" s="7">
        <v>112.5</v>
      </c>
      <c r="L12" s="7">
        <v>0.0</v>
      </c>
      <c r="M12" s="7">
        <v>0.0</v>
      </c>
      <c r="N12" s="7">
        <v>104.65116279069767</v>
      </c>
      <c r="O12" s="7">
        <v>0.0</v>
      </c>
      <c r="P12" s="7">
        <v>0.0</v>
      </c>
      <c r="Q12" s="7">
        <v>100.0</v>
      </c>
      <c r="R12" s="7">
        <v>0.0</v>
      </c>
      <c r="S12" s="7">
        <v>0.0</v>
      </c>
      <c r="T12" s="7">
        <v>107.14285714285714</v>
      </c>
      <c r="U12" s="7">
        <v>0.0</v>
      </c>
      <c r="V12" s="7">
        <v>0.0</v>
      </c>
      <c r="W12" s="7">
        <v>115.38461538461539</v>
      </c>
      <c r="X12" s="7">
        <v>0.0</v>
      </c>
      <c r="Y12" s="7">
        <v>0.0</v>
      </c>
      <c r="Z12" s="7">
        <v>264.70588235294116</v>
      </c>
      <c r="AA12" s="7">
        <v>0.0</v>
      </c>
      <c r="AB12" s="7">
        <v>0.0</v>
      </c>
      <c r="AC12" s="7">
        <v>450.0</v>
      </c>
      <c r="AD12" s="7">
        <v>0.0</v>
      </c>
      <c r="AE12" s="7">
        <v>0.0</v>
      </c>
      <c r="AF12" s="7">
        <v>450.0</v>
      </c>
      <c r="AG12" s="7">
        <v>0.0</v>
      </c>
      <c r="AH12" s="7">
        <v>0.0</v>
      </c>
      <c r="AI12" s="7">
        <v>473.6842105263158</v>
      </c>
      <c r="AJ12" s="7">
        <v>0.0</v>
      </c>
      <c r="AK12" s="7">
        <v>0.0</v>
      </c>
    </row>
    <row r="13">
      <c r="A13" s="4" t="s">
        <v>100</v>
      </c>
      <c r="B13" s="7">
        <v>0.0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25.0</v>
      </c>
      <c r="I13" s="7">
        <v>20.0</v>
      </c>
      <c r="J13" s="7">
        <v>24.0</v>
      </c>
      <c r="K13" s="7">
        <v>15.0</v>
      </c>
      <c r="L13" s="7">
        <v>14.634146341463413</v>
      </c>
      <c r="M13" s="7">
        <v>15.0</v>
      </c>
      <c r="N13" s="7">
        <v>11.627906976744185</v>
      </c>
      <c r="O13" s="7">
        <v>10.638297872340425</v>
      </c>
      <c r="P13" s="7">
        <v>10.204081632653061</v>
      </c>
      <c r="Q13" s="7">
        <v>11.11111111111111</v>
      </c>
      <c r="R13" s="7">
        <v>10.204081632653061</v>
      </c>
      <c r="S13" s="7">
        <v>10.416666666666668</v>
      </c>
      <c r="T13" s="7">
        <v>11.904761904761903</v>
      </c>
      <c r="U13" s="7">
        <v>9.803921568627452</v>
      </c>
      <c r="V13" s="7">
        <v>10.0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</row>
    <row r="14">
      <c r="A14" s="4" t="s">
        <v>63</v>
      </c>
      <c r="B14" s="7">
        <v>1.0526315789473684</v>
      </c>
      <c r="C14" s="7">
        <v>0.9523809523809523</v>
      </c>
      <c r="D14" s="7">
        <v>0.9523809523809523</v>
      </c>
      <c r="E14" s="7">
        <v>1.0526315789473684</v>
      </c>
      <c r="F14" s="7">
        <v>0.9523809523809523</v>
      </c>
      <c r="G14" s="7">
        <v>0.9523809523809523</v>
      </c>
      <c r="H14" s="7">
        <v>0.8333333333333333</v>
      </c>
      <c r="I14" s="7">
        <v>0.8</v>
      </c>
      <c r="J14" s="7">
        <v>0.8</v>
      </c>
      <c r="K14" s="7">
        <v>0.5</v>
      </c>
      <c r="L14" s="7">
        <v>0.4878048780487805</v>
      </c>
      <c r="M14" s="7">
        <v>0.5</v>
      </c>
      <c r="N14" s="7">
        <v>0.46511627906976744</v>
      </c>
      <c r="O14" s="7">
        <v>0.425531914893617</v>
      </c>
      <c r="P14" s="7">
        <v>0.4081632653061224</v>
      </c>
      <c r="Q14" s="7">
        <v>0.4444444444444445</v>
      </c>
      <c r="R14" s="7">
        <v>0.4081632653061224</v>
      </c>
      <c r="S14" s="7">
        <v>0.41666666666666663</v>
      </c>
      <c r="T14" s="7">
        <v>0.47619047619047616</v>
      </c>
      <c r="U14" s="7">
        <v>0.39215686274509803</v>
      </c>
      <c r="V14" s="7">
        <v>0.4</v>
      </c>
      <c r="W14" s="7">
        <v>0.5128205128205128</v>
      </c>
      <c r="X14" s="7">
        <v>0.4444444444444445</v>
      </c>
      <c r="Y14" s="7">
        <v>0.4545454545454546</v>
      </c>
      <c r="Z14" s="7">
        <v>1.1764705882352942</v>
      </c>
      <c r="AA14" s="7">
        <v>0.8695652173913043</v>
      </c>
      <c r="AB14" s="7">
        <v>0.8695652173913043</v>
      </c>
      <c r="AC14" s="7">
        <v>1.0</v>
      </c>
      <c r="AD14" s="7">
        <v>0.7407407407407407</v>
      </c>
      <c r="AE14" s="7">
        <v>0.7407407407407407</v>
      </c>
      <c r="AF14" s="7">
        <v>1.0</v>
      </c>
      <c r="AG14" s="7">
        <v>1.1764705882352942</v>
      </c>
      <c r="AH14" s="7">
        <v>1.1764705882352942</v>
      </c>
      <c r="AI14" s="7">
        <v>1.0526315789473684</v>
      </c>
      <c r="AJ14" s="7">
        <v>1.0526315789473684</v>
      </c>
      <c r="AK14" s="7">
        <v>1.0526315789473684</v>
      </c>
    </row>
    <row r="15">
      <c r="A15" s="4" t="s">
        <v>64</v>
      </c>
      <c r="B15" s="7">
        <v>0.5263157894736842</v>
      </c>
      <c r="C15" s="7">
        <v>0.47619047619047616</v>
      </c>
      <c r="D15" s="7">
        <v>0.47619047619047616</v>
      </c>
      <c r="E15" s="7">
        <v>0.5263157894736842</v>
      </c>
      <c r="F15" s="7">
        <v>0.47619047619047616</v>
      </c>
      <c r="G15" s="7">
        <v>0.47619047619047616</v>
      </c>
      <c r="H15" s="7">
        <v>0.41666666666666663</v>
      </c>
      <c r="I15" s="7">
        <v>0.4</v>
      </c>
      <c r="J15" s="7">
        <v>0.4</v>
      </c>
      <c r="K15" s="7">
        <v>0.25</v>
      </c>
      <c r="L15" s="7">
        <v>0.24390243902439024</v>
      </c>
      <c r="M15" s="7">
        <v>0.25</v>
      </c>
      <c r="N15" s="7">
        <v>0.23255813953488372</v>
      </c>
      <c r="O15" s="7">
        <v>0.2127659574468085</v>
      </c>
      <c r="P15" s="7">
        <v>0.2040816326530612</v>
      </c>
      <c r="Q15" s="7">
        <v>0.22222222222222224</v>
      </c>
      <c r="R15" s="7">
        <v>0.2040816326530612</v>
      </c>
      <c r="S15" s="7">
        <v>0.20833333333333331</v>
      </c>
      <c r="T15" s="7">
        <v>0.23809523809523808</v>
      </c>
      <c r="U15" s="7">
        <v>0.19607843137254902</v>
      </c>
      <c r="V15" s="7">
        <v>0.2</v>
      </c>
      <c r="W15" s="7">
        <v>0.2564102564102564</v>
      </c>
      <c r="X15" s="7">
        <v>0.22222222222222224</v>
      </c>
      <c r="Y15" s="7">
        <v>0.2272727272727273</v>
      </c>
      <c r="Z15" s="7">
        <v>0.5882352941176471</v>
      </c>
      <c r="AA15" s="7">
        <v>0.43478260869565216</v>
      </c>
      <c r="AB15" s="7">
        <v>0.43478260869565216</v>
      </c>
      <c r="AC15" s="7">
        <v>0.5</v>
      </c>
      <c r="AD15" s="7">
        <v>0.37037037037037035</v>
      </c>
      <c r="AE15" s="7">
        <v>0.37037037037037035</v>
      </c>
      <c r="AF15" s="7">
        <v>0.5</v>
      </c>
      <c r="AG15" s="7">
        <v>0.5882352941176471</v>
      </c>
      <c r="AH15" s="7">
        <v>0.5882352941176471</v>
      </c>
      <c r="AI15" s="7">
        <v>0.5263157894736842</v>
      </c>
      <c r="AJ15" s="7">
        <v>0.5263157894736842</v>
      </c>
      <c r="AK15" s="7">
        <v>0.5263157894736842</v>
      </c>
    </row>
    <row r="16">
      <c r="A16" s="4" t="s">
        <v>65</v>
      </c>
      <c r="B16" s="7">
        <v>0.5263157894736842</v>
      </c>
      <c r="C16" s="7">
        <v>0.47619047619047616</v>
      </c>
      <c r="D16" s="7">
        <v>0.47619047619047616</v>
      </c>
      <c r="E16" s="7">
        <v>0.5263157894736842</v>
      </c>
      <c r="F16" s="7">
        <v>0.47619047619047616</v>
      </c>
      <c r="G16" s="7">
        <v>0.47619047619047616</v>
      </c>
      <c r="H16" s="7">
        <v>0.41666666666666663</v>
      </c>
      <c r="I16" s="7">
        <v>0.4</v>
      </c>
      <c r="J16" s="7">
        <v>0.4</v>
      </c>
      <c r="K16" s="7">
        <v>0.25</v>
      </c>
      <c r="L16" s="7">
        <v>0.24390243902439024</v>
      </c>
      <c r="M16" s="7">
        <v>0.25</v>
      </c>
      <c r="N16" s="7">
        <v>0.23255813953488372</v>
      </c>
      <c r="O16" s="7">
        <v>0.2127659574468085</v>
      </c>
      <c r="P16" s="7">
        <v>0.2040816326530612</v>
      </c>
      <c r="Q16" s="7">
        <v>0.22222222222222224</v>
      </c>
      <c r="R16" s="7">
        <v>0.2040816326530612</v>
      </c>
      <c r="S16" s="7">
        <v>0.20833333333333331</v>
      </c>
      <c r="T16" s="7">
        <v>0.23809523809523808</v>
      </c>
      <c r="U16" s="7">
        <v>0.19607843137254902</v>
      </c>
      <c r="V16" s="7">
        <v>0.2</v>
      </c>
      <c r="W16" s="7">
        <v>0.2564102564102564</v>
      </c>
      <c r="X16" s="7">
        <v>0.22222222222222224</v>
      </c>
      <c r="Y16" s="7">
        <v>0.2272727272727273</v>
      </c>
      <c r="Z16" s="7">
        <v>0.5882352941176471</v>
      </c>
      <c r="AA16" s="7">
        <v>0.43478260869565216</v>
      </c>
      <c r="AB16" s="7">
        <v>0.43478260869565216</v>
      </c>
      <c r="AC16" s="7">
        <v>0.5</v>
      </c>
      <c r="AD16" s="7">
        <v>0.37037037037037035</v>
      </c>
      <c r="AE16" s="7">
        <v>0.37037037037037035</v>
      </c>
      <c r="AF16" s="7">
        <v>0.5</v>
      </c>
      <c r="AG16" s="7">
        <v>0.5882352941176471</v>
      </c>
      <c r="AH16" s="7">
        <v>0.5882352941176471</v>
      </c>
      <c r="AI16" s="7">
        <v>0.5263157894736842</v>
      </c>
      <c r="AJ16" s="7">
        <v>0.5263157894736842</v>
      </c>
      <c r="AK16" s="7">
        <v>0.5263157894736842</v>
      </c>
    </row>
    <row r="17">
      <c r="A17" s="4" t="s">
        <v>66</v>
      </c>
      <c r="B17" s="7">
        <v>1.0526315789473684</v>
      </c>
      <c r="C17" s="7">
        <v>0.9523809523809523</v>
      </c>
      <c r="D17" s="7">
        <v>0.9523809523809523</v>
      </c>
      <c r="E17" s="7">
        <v>1.0526315789473684</v>
      </c>
      <c r="F17" s="7">
        <v>0.9523809523809523</v>
      </c>
      <c r="G17" s="7">
        <v>0.9523809523809523</v>
      </c>
      <c r="H17" s="7">
        <v>0.8333333333333333</v>
      </c>
      <c r="I17" s="7">
        <v>0.8</v>
      </c>
      <c r="J17" s="7">
        <v>0.8</v>
      </c>
      <c r="K17" s="7">
        <v>0.5</v>
      </c>
      <c r="L17" s="7">
        <v>0.4878048780487805</v>
      </c>
      <c r="M17" s="7">
        <v>0.5</v>
      </c>
      <c r="N17" s="7">
        <v>0.46511627906976744</v>
      </c>
      <c r="O17" s="7">
        <v>0.425531914893617</v>
      </c>
      <c r="P17" s="7">
        <v>0.4081632653061224</v>
      </c>
      <c r="Q17" s="7">
        <v>0.4444444444444445</v>
      </c>
      <c r="R17" s="7">
        <v>0.4081632653061224</v>
      </c>
      <c r="S17" s="7">
        <v>0.41666666666666663</v>
      </c>
      <c r="T17" s="7">
        <v>0.47619047619047616</v>
      </c>
      <c r="U17" s="7">
        <v>0.39215686274509803</v>
      </c>
      <c r="V17" s="7">
        <v>0.4</v>
      </c>
      <c r="W17" s="7">
        <v>0.5128205128205128</v>
      </c>
      <c r="X17" s="7">
        <v>0.4444444444444445</v>
      </c>
      <c r="Y17" s="7">
        <v>0.4545454545454546</v>
      </c>
      <c r="Z17" s="7">
        <v>1.1764705882352942</v>
      </c>
      <c r="AA17" s="7">
        <v>0.8695652173913043</v>
      </c>
      <c r="AB17" s="7">
        <v>0.8695652173913043</v>
      </c>
      <c r="AC17" s="7">
        <v>1.0</v>
      </c>
      <c r="AD17" s="7">
        <v>0.7407407407407407</v>
      </c>
      <c r="AE17" s="7">
        <v>0.7407407407407407</v>
      </c>
      <c r="AF17" s="7">
        <v>1.0</v>
      </c>
      <c r="AG17" s="7">
        <v>1.1764705882352942</v>
      </c>
      <c r="AH17" s="7">
        <v>1.1764705882352942</v>
      </c>
      <c r="AI17" s="7">
        <v>1.0526315789473684</v>
      </c>
      <c r="AJ17" s="7">
        <v>1.0526315789473684</v>
      </c>
      <c r="AK17" s="7">
        <v>1.0526315789473684</v>
      </c>
    </row>
    <row r="18">
      <c r="A18" s="16" t="s">
        <v>76</v>
      </c>
      <c r="B18" s="17">
        <f t="shared" ref="B18:AK18" si="1">SUM(B2:B17)</f>
        <v>640</v>
      </c>
      <c r="C18" s="17">
        <f t="shared" si="1"/>
        <v>936.1904762</v>
      </c>
      <c r="D18" s="17">
        <f t="shared" si="1"/>
        <v>936.1904762</v>
      </c>
      <c r="E18" s="17">
        <f t="shared" si="1"/>
        <v>640</v>
      </c>
      <c r="F18" s="17">
        <f t="shared" si="1"/>
        <v>936.1904762</v>
      </c>
      <c r="G18" s="17">
        <f t="shared" si="1"/>
        <v>936.1904762</v>
      </c>
      <c r="H18" s="17">
        <f t="shared" si="1"/>
        <v>519.1666667</v>
      </c>
      <c r="I18" s="17">
        <f t="shared" si="1"/>
        <v>754.4</v>
      </c>
      <c r="J18" s="17">
        <f t="shared" si="1"/>
        <v>706.4</v>
      </c>
      <c r="K18" s="17">
        <f t="shared" si="1"/>
        <v>401.5</v>
      </c>
      <c r="L18" s="17">
        <f t="shared" si="1"/>
        <v>520.9756098</v>
      </c>
      <c r="M18" s="17">
        <f t="shared" si="1"/>
        <v>526.5</v>
      </c>
      <c r="N18" s="17">
        <f t="shared" si="1"/>
        <v>342.7906977</v>
      </c>
      <c r="O18" s="17">
        <f t="shared" si="1"/>
        <v>387.6595745</v>
      </c>
      <c r="P18" s="17">
        <f t="shared" si="1"/>
        <v>459.5918367</v>
      </c>
      <c r="Q18" s="17">
        <f t="shared" si="1"/>
        <v>572</v>
      </c>
      <c r="R18" s="17">
        <f t="shared" si="1"/>
        <v>574.2857143</v>
      </c>
      <c r="S18" s="17">
        <f t="shared" si="1"/>
        <v>706.25</v>
      </c>
      <c r="T18" s="17">
        <f t="shared" si="1"/>
        <v>600.4761905</v>
      </c>
      <c r="U18" s="17">
        <f t="shared" si="1"/>
        <v>571.372549</v>
      </c>
      <c r="V18" s="17">
        <f t="shared" si="1"/>
        <v>694.8</v>
      </c>
      <c r="W18" s="17">
        <f t="shared" si="1"/>
        <v>644.1025641</v>
      </c>
      <c r="X18" s="17">
        <f t="shared" si="1"/>
        <v>633.7777778</v>
      </c>
      <c r="Y18" s="17">
        <f t="shared" si="1"/>
        <v>777.2727273</v>
      </c>
      <c r="Z18" s="17">
        <f t="shared" si="1"/>
        <v>597.6470588</v>
      </c>
      <c r="AA18" s="17">
        <f t="shared" si="1"/>
        <v>811.3043478</v>
      </c>
      <c r="AB18" s="17">
        <f t="shared" si="1"/>
        <v>1037.391304</v>
      </c>
      <c r="AC18" s="17">
        <f t="shared" si="1"/>
        <v>833</v>
      </c>
      <c r="AD18" s="17">
        <f t="shared" si="1"/>
        <v>868.8888889</v>
      </c>
      <c r="AE18" s="17">
        <f t="shared" si="1"/>
        <v>868.8888889</v>
      </c>
      <c r="AF18" s="17">
        <f t="shared" si="1"/>
        <v>833</v>
      </c>
      <c r="AG18" s="17">
        <f t="shared" si="1"/>
        <v>750.5882353</v>
      </c>
      <c r="AH18" s="17">
        <f t="shared" si="1"/>
        <v>750.5882353</v>
      </c>
      <c r="AI18" s="17">
        <f t="shared" si="1"/>
        <v>913.6842105</v>
      </c>
      <c r="AJ18" s="17">
        <f t="shared" si="1"/>
        <v>1145.263158</v>
      </c>
      <c r="AK18" s="17">
        <f t="shared" si="1"/>
        <v>1145.263158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37" width="9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" t="s">
        <v>105</v>
      </c>
      <c r="B2" s="2">
        <v>4.0</v>
      </c>
      <c r="C2" s="2">
        <v>3.0</v>
      </c>
      <c r="D2" s="2">
        <v>0.0</v>
      </c>
      <c r="E2" s="2">
        <v>4.0</v>
      </c>
      <c r="F2" s="2">
        <v>3.0</v>
      </c>
      <c r="G2" s="2">
        <v>0.0</v>
      </c>
      <c r="H2" s="2">
        <v>3.0</v>
      </c>
      <c r="I2" s="2">
        <v>3.0</v>
      </c>
      <c r="J2" s="2">
        <v>0.0</v>
      </c>
      <c r="K2" s="2">
        <v>3.0</v>
      </c>
      <c r="L2" s="2">
        <v>3.0</v>
      </c>
      <c r="M2" s="2">
        <v>0.0</v>
      </c>
      <c r="N2" s="2">
        <v>3.0</v>
      </c>
      <c r="O2" s="2">
        <v>3.0</v>
      </c>
      <c r="P2" s="2">
        <v>0.0</v>
      </c>
      <c r="Q2" s="2">
        <v>3.0</v>
      </c>
      <c r="R2" s="2">
        <v>3.0</v>
      </c>
      <c r="S2" s="2">
        <v>0.0</v>
      </c>
      <c r="T2" s="2">
        <v>3.0</v>
      </c>
      <c r="U2" s="2">
        <v>3.0</v>
      </c>
      <c r="V2" s="2">
        <v>0.0</v>
      </c>
      <c r="W2" s="2">
        <v>3.0</v>
      </c>
      <c r="X2" s="2">
        <v>3.0</v>
      </c>
      <c r="Y2" s="2">
        <v>0.0</v>
      </c>
      <c r="Z2" s="2">
        <v>2.0</v>
      </c>
      <c r="AA2" s="2">
        <v>2.0</v>
      </c>
      <c r="AB2" s="2">
        <v>0.0</v>
      </c>
      <c r="AC2" s="2">
        <v>4.0</v>
      </c>
      <c r="AD2" s="2">
        <v>4.0</v>
      </c>
      <c r="AE2" s="2">
        <v>0.0</v>
      </c>
      <c r="AF2" s="20">
        <v>5.0</v>
      </c>
      <c r="AG2" s="2">
        <v>3.0</v>
      </c>
      <c r="AH2" s="2">
        <v>0.0</v>
      </c>
      <c r="AI2" s="2">
        <v>4.0</v>
      </c>
      <c r="AJ2" s="2">
        <v>3.0</v>
      </c>
      <c r="AK2" s="2">
        <v>0.0</v>
      </c>
    </row>
    <row r="3">
      <c r="A3" s="1" t="s">
        <v>106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4.0</v>
      </c>
      <c r="I3" s="2">
        <v>4.0</v>
      </c>
      <c r="J3" s="2">
        <v>4.0</v>
      </c>
      <c r="K3" s="2">
        <v>3.0</v>
      </c>
      <c r="L3" s="2">
        <v>3.0</v>
      </c>
      <c r="M3" s="2">
        <v>3.0</v>
      </c>
      <c r="N3" s="2">
        <v>4.0</v>
      </c>
      <c r="O3" s="2">
        <v>4.0</v>
      </c>
      <c r="P3" s="2">
        <v>4.0</v>
      </c>
      <c r="Q3" s="2">
        <v>4.0</v>
      </c>
      <c r="R3" s="2">
        <v>4.0</v>
      </c>
      <c r="S3" s="2">
        <v>4.0</v>
      </c>
      <c r="T3" s="2">
        <v>3.0</v>
      </c>
      <c r="U3" s="2">
        <v>3.0</v>
      </c>
      <c r="V3" s="2">
        <v>3.0</v>
      </c>
      <c r="W3" s="2">
        <v>3.0</v>
      </c>
      <c r="X3" s="2">
        <v>3.0</v>
      </c>
      <c r="Y3" s="2">
        <v>3.0</v>
      </c>
      <c r="Z3" s="2">
        <v>4.0</v>
      </c>
      <c r="AA3" s="2">
        <v>4.0</v>
      </c>
      <c r="AB3" s="2">
        <v>3.0</v>
      </c>
      <c r="AC3" s="2">
        <v>4.0</v>
      </c>
      <c r="AD3" s="2">
        <v>4.0</v>
      </c>
      <c r="AE3" s="20">
        <v>5.0</v>
      </c>
      <c r="AF3" s="2">
        <v>4.0</v>
      </c>
      <c r="AG3" s="2">
        <v>4.0</v>
      </c>
      <c r="AH3" s="2">
        <v>4.0</v>
      </c>
      <c r="AI3" s="2">
        <v>0.0</v>
      </c>
      <c r="AJ3" s="2">
        <v>0.0</v>
      </c>
      <c r="AK3" s="2">
        <v>0.0</v>
      </c>
    </row>
    <row r="4">
      <c r="A4" s="1" t="s">
        <v>107</v>
      </c>
      <c r="B4" s="2">
        <v>0.0</v>
      </c>
      <c r="C4" s="2">
        <v>0.0</v>
      </c>
      <c r="D4" s="20">
        <v>1.0</v>
      </c>
      <c r="E4" s="2">
        <v>0.0</v>
      </c>
      <c r="F4" s="2">
        <v>0.0</v>
      </c>
      <c r="G4" s="20">
        <v>1.0</v>
      </c>
      <c r="H4" s="2">
        <v>0.0</v>
      </c>
      <c r="I4" s="2">
        <v>0.0</v>
      </c>
      <c r="J4" s="20">
        <v>1.0</v>
      </c>
      <c r="K4" s="2">
        <v>0.0</v>
      </c>
      <c r="L4" s="2">
        <v>0.0</v>
      </c>
      <c r="M4" s="20">
        <v>1.0</v>
      </c>
      <c r="N4" s="2">
        <v>0.0</v>
      </c>
      <c r="O4" s="2">
        <v>0.0</v>
      </c>
      <c r="P4" s="20">
        <v>1.0</v>
      </c>
      <c r="Q4" s="2">
        <v>0.0</v>
      </c>
      <c r="R4" s="2">
        <v>0.0</v>
      </c>
      <c r="S4" s="20">
        <v>1.0</v>
      </c>
      <c r="T4" s="2">
        <v>0.0</v>
      </c>
      <c r="U4" s="2">
        <v>0.0</v>
      </c>
      <c r="V4" s="20">
        <v>1.0</v>
      </c>
      <c r="W4" s="2">
        <v>0.0</v>
      </c>
      <c r="X4" s="2">
        <v>0.0</v>
      </c>
      <c r="Y4" s="20">
        <v>1.0</v>
      </c>
      <c r="Z4" s="2">
        <v>0.0</v>
      </c>
      <c r="AA4" s="2">
        <v>0.0</v>
      </c>
      <c r="AB4" s="20">
        <v>1.0</v>
      </c>
      <c r="AC4" s="2">
        <v>0.0</v>
      </c>
      <c r="AD4" s="2">
        <v>0.0</v>
      </c>
      <c r="AE4" s="20">
        <v>1.0</v>
      </c>
      <c r="AF4" s="2">
        <v>0.0</v>
      </c>
      <c r="AG4" s="2">
        <v>0.0</v>
      </c>
      <c r="AH4" s="20">
        <v>1.0</v>
      </c>
      <c r="AI4" s="2">
        <v>0.0</v>
      </c>
      <c r="AJ4" s="2">
        <v>0.0</v>
      </c>
      <c r="AK4" s="20">
        <v>1.0</v>
      </c>
    </row>
    <row r="5">
      <c r="A5" s="1" t="s">
        <v>108</v>
      </c>
      <c r="B5" s="2">
        <v>0.0</v>
      </c>
      <c r="C5" s="2">
        <v>0.0</v>
      </c>
      <c r="D5" s="20">
        <v>5.0</v>
      </c>
      <c r="E5" s="2">
        <v>0.0</v>
      </c>
      <c r="F5" s="2">
        <v>0.0</v>
      </c>
      <c r="G5" s="20">
        <v>5.0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0">
        <v>5.0</v>
      </c>
      <c r="AI5" s="2">
        <v>0.0</v>
      </c>
      <c r="AJ5" s="2">
        <v>0.0</v>
      </c>
      <c r="AK5" s="20">
        <v>5.0</v>
      </c>
    </row>
    <row r="6">
      <c r="A6" s="1" t="s">
        <v>109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4.0</v>
      </c>
      <c r="L6" s="2">
        <v>4.0</v>
      </c>
      <c r="M6" s="2">
        <v>4.0</v>
      </c>
      <c r="N6" s="20">
        <v>5.0</v>
      </c>
      <c r="O6" s="20">
        <v>5.0</v>
      </c>
      <c r="P6" s="20">
        <v>5.0</v>
      </c>
      <c r="Q6" s="2">
        <v>4.0</v>
      </c>
      <c r="R6" s="2">
        <v>4.0</v>
      </c>
      <c r="S6" s="2">
        <v>4.0</v>
      </c>
      <c r="T6" s="2">
        <v>4.0</v>
      </c>
      <c r="U6" s="2">
        <v>4.0</v>
      </c>
      <c r="V6" s="2">
        <v>4.0</v>
      </c>
      <c r="W6" s="2">
        <v>4.0</v>
      </c>
      <c r="X6" s="2">
        <v>4.0</v>
      </c>
      <c r="Y6" s="2">
        <v>4.0</v>
      </c>
      <c r="Z6" s="2">
        <v>4.0</v>
      </c>
      <c r="AA6" s="2">
        <v>4.0</v>
      </c>
      <c r="AB6" s="2">
        <v>4.0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</row>
    <row r="7">
      <c r="A7" s="1" t="s">
        <v>110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5.0</v>
      </c>
      <c r="L7" s="2">
        <v>5.0</v>
      </c>
      <c r="M7" s="2">
        <v>5.0</v>
      </c>
      <c r="N7" s="20">
        <v>6.0</v>
      </c>
      <c r="O7" s="20">
        <v>6.0</v>
      </c>
      <c r="P7" s="20">
        <v>6.0</v>
      </c>
      <c r="Q7" s="20">
        <v>6.0</v>
      </c>
      <c r="R7" s="2">
        <v>5.0</v>
      </c>
      <c r="S7" s="20">
        <v>6.0</v>
      </c>
      <c r="T7" s="2">
        <v>5.0</v>
      </c>
      <c r="U7" s="2">
        <v>5.0</v>
      </c>
      <c r="V7" s="2">
        <v>5.0</v>
      </c>
      <c r="W7" s="2">
        <v>5.0</v>
      </c>
      <c r="X7" s="2">
        <v>5.0</v>
      </c>
      <c r="Y7" s="2">
        <v>5.0</v>
      </c>
      <c r="Z7" s="2">
        <v>5.0</v>
      </c>
      <c r="AA7" s="2">
        <v>5.0</v>
      </c>
      <c r="AB7" s="20">
        <v>6.0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</row>
    <row r="8">
      <c r="A8" s="1" t="s">
        <v>111</v>
      </c>
      <c r="B8" s="20">
        <v>2.0</v>
      </c>
      <c r="C8" s="20">
        <v>2.0</v>
      </c>
      <c r="D8" s="20">
        <v>2.0</v>
      </c>
      <c r="E8" s="20">
        <v>2.0</v>
      </c>
      <c r="F8" s="20">
        <v>2.0</v>
      </c>
      <c r="G8" s="20">
        <v>2.0</v>
      </c>
      <c r="H8" s="20">
        <v>2.0</v>
      </c>
      <c r="I8" s="20">
        <v>2.0</v>
      </c>
      <c r="J8" s="20">
        <v>2.0</v>
      </c>
      <c r="K8" s="2">
        <v>1.0</v>
      </c>
      <c r="L8" s="2">
        <v>1.0</v>
      </c>
      <c r="M8" s="2">
        <v>1.0</v>
      </c>
      <c r="N8" s="20">
        <v>2.0</v>
      </c>
      <c r="O8" s="20">
        <v>2.0</v>
      </c>
      <c r="P8" s="20">
        <v>2.0</v>
      </c>
      <c r="Q8" s="2">
        <v>1.0</v>
      </c>
      <c r="R8" s="2">
        <v>1.0</v>
      </c>
      <c r="S8" s="2">
        <v>1.0</v>
      </c>
      <c r="T8" s="2">
        <v>1.0</v>
      </c>
      <c r="U8" s="2">
        <v>1.0</v>
      </c>
      <c r="V8" s="2">
        <v>1.0</v>
      </c>
      <c r="W8" s="2">
        <v>1.0</v>
      </c>
      <c r="X8" s="2">
        <v>1.0</v>
      </c>
      <c r="Y8" s="2">
        <v>1.0</v>
      </c>
      <c r="Z8" s="2">
        <v>1.0</v>
      </c>
      <c r="AA8" s="2">
        <v>1.0</v>
      </c>
      <c r="AB8" s="2">
        <v>1.0</v>
      </c>
      <c r="AC8" s="20">
        <v>2.0</v>
      </c>
      <c r="AD8" s="20">
        <v>2.0</v>
      </c>
      <c r="AE8" s="20">
        <v>2.0</v>
      </c>
      <c r="AF8" s="20">
        <v>2.0</v>
      </c>
      <c r="AG8" s="20">
        <v>2.0</v>
      </c>
      <c r="AH8" s="20">
        <v>2.0</v>
      </c>
      <c r="AI8" s="20">
        <v>2.0</v>
      </c>
      <c r="AJ8" s="20">
        <v>2.0</v>
      </c>
      <c r="AK8" s="20">
        <v>2.0</v>
      </c>
    </row>
    <row r="9">
      <c r="A9" s="1" t="s">
        <v>112</v>
      </c>
      <c r="B9" s="2">
        <v>13.0</v>
      </c>
      <c r="C9" s="2">
        <v>13.0</v>
      </c>
      <c r="D9" s="2">
        <v>12.0</v>
      </c>
      <c r="E9" s="2">
        <v>13.0</v>
      </c>
      <c r="F9" s="2">
        <v>13.0</v>
      </c>
      <c r="G9" s="2">
        <v>12.0</v>
      </c>
      <c r="H9" s="2">
        <v>13.0</v>
      </c>
      <c r="I9" s="2">
        <v>12.0</v>
      </c>
      <c r="J9" s="2">
        <v>12.0</v>
      </c>
      <c r="K9" s="2">
        <v>11.0</v>
      </c>
      <c r="L9" s="2">
        <v>11.0</v>
      </c>
      <c r="M9" s="2">
        <v>11.0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13.0</v>
      </c>
      <c r="AD9" s="2">
        <v>13.0</v>
      </c>
      <c r="AE9" s="20">
        <v>14.0</v>
      </c>
      <c r="AF9" s="2">
        <v>13.0</v>
      </c>
      <c r="AG9" s="2">
        <v>13.0</v>
      </c>
      <c r="AH9" s="2">
        <v>12.0</v>
      </c>
      <c r="AI9" s="2">
        <v>13.0</v>
      </c>
      <c r="AJ9" s="2">
        <v>13.0</v>
      </c>
      <c r="AK9" s="2">
        <v>12.0</v>
      </c>
    </row>
    <row r="10">
      <c r="A10" s="1" t="s">
        <v>113</v>
      </c>
      <c r="B10" s="2">
        <v>0.0</v>
      </c>
      <c r="C10" s="20">
        <v>6.0</v>
      </c>
      <c r="D10" s="20">
        <v>6.0</v>
      </c>
      <c r="E10" s="2">
        <v>0.0</v>
      </c>
      <c r="F10" s="20">
        <v>6.0</v>
      </c>
      <c r="G10" s="20">
        <v>6.0</v>
      </c>
      <c r="H10" s="2">
        <v>0.0</v>
      </c>
      <c r="I10" s="20">
        <v>6.0</v>
      </c>
      <c r="J10" s="20">
        <v>6.0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0">
        <v>6.0</v>
      </c>
      <c r="AH10" s="20">
        <v>6.0</v>
      </c>
      <c r="AI10" s="2">
        <v>0.0</v>
      </c>
      <c r="AJ10" s="20">
        <v>6.0</v>
      </c>
      <c r="AK10" s="20">
        <v>6.0</v>
      </c>
    </row>
    <row r="11">
      <c r="A11" s="1" t="s">
        <v>114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0">
        <v>2.0</v>
      </c>
      <c r="S11" s="20">
        <v>2.0</v>
      </c>
      <c r="T11" s="2">
        <v>0.0</v>
      </c>
      <c r="U11" s="20">
        <v>2.0</v>
      </c>
      <c r="V11" s="20">
        <v>2.0</v>
      </c>
      <c r="W11" s="2">
        <v>0.0</v>
      </c>
      <c r="X11" s="20">
        <v>2.0</v>
      </c>
      <c r="Y11" s="20">
        <v>2.0</v>
      </c>
      <c r="Z11" s="2">
        <v>0.0</v>
      </c>
      <c r="AA11" s="20">
        <v>2.0</v>
      </c>
      <c r="AB11" s="20">
        <v>2.0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</row>
    <row r="12">
      <c r="A12" s="1" t="s">
        <v>115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0">
        <v>1.0</v>
      </c>
      <c r="S12" s="20">
        <v>1.0</v>
      </c>
      <c r="T12" s="2">
        <v>0.0</v>
      </c>
      <c r="U12" s="20">
        <v>1.0</v>
      </c>
      <c r="V12" s="20">
        <v>1.0</v>
      </c>
      <c r="W12" s="2">
        <v>0.0</v>
      </c>
      <c r="X12" s="20">
        <v>1.0</v>
      </c>
      <c r="Y12" s="20">
        <v>1.0</v>
      </c>
      <c r="Z12" s="2">
        <v>0.0</v>
      </c>
      <c r="AA12" s="20">
        <v>1.0</v>
      </c>
      <c r="AB12" s="20">
        <v>1.0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</row>
    <row r="13">
      <c r="A13" s="1" t="s">
        <v>116</v>
      </c>
      <c r="B13" s="20">
        <v>21.0</v>
      </c>
      <c r="C13" s="2">
        <v>20.0</v>
      </c>
      <c r="D13" s="2">
        <v>18.0</v>
      </c>
      <c r="E13" s="2">
        <v>20.0</v>
      </c>
      <c r="F13" s="2">
        <v>19.0</v>
      </c>
      <c r="G13" s="2">
        <v>18.0</v>
      </c>
      <c r="H13" s="2">
        <v>20.0</v>
      </c>
      <c r="I13" s="2">
        <v>18.0</v>
      </c>
      <c r="J13" s="2">
        <v>19.0</v>
      </c>
      <c r="K13" s="2">
        <v>16.0</v>
      </c>
      <c r="L13" s="2">
        <v>16.0</v>
      </c>
      <c r="M13" s="2">
        <v>17.0</v>
      </c>
      <c r="N13" s="2">
        <v>20.0</v>
      </c>
      <c r="O13" s="2">
        <v>20.0</v>
      </c>
      <c r="P13" s="2">
        <v>20.0</v>
      </c>
      <c r="Q13" s="2">
        <v>18.0</v>
      </c>
      <c r="R13" s="2">
        <v>18.0</v>
      </c>
      <c r="S13" s="2">
        <v>17.0</v>
      </c>
      <c r="T13" s="2">
        <v>15.0</v>
      </c>
      <c r="U13" s="2">
        <v>14.0</v>
      </c>
      <c r="V13" s="2">
        <v>15.0</v>
      </c>
      <c r="W13" s="2">
        <v>15.0</v>
      </c>
      <c r="X13" s="2">
        <v>14.0</v>
      </c>
      <c r="Y13" s="2">
        <v>16.0</v>
      </c>
      <c r="Z13" s="2">
        <v>15.0</v>
      </c>
      <c r="AA13" s="2">
        <v>15.0</v>
      </c>
      <c r="AB13" s="2">
        <v>15.0</v>
      </c>
      <c r="AC13" s="2">
        <v>20.0</v>
      </c>
      <c r="AD13" s="2">
        <v>20.0</v>
      </c>
      <c r="AE13" s="20">
        <v>21.0</v>
      </c>
      <c r="AF13" s="20">
        <v>21.0</v>
      </c>
      <c r="AG13" s="2">
        <v>20.0</v>
      </c>
      <c r="AH13" s="2">
        <v>19.0</v>
      </c>
      <c r="AI13" s="20">
        <v>21.0</v>
      </c>
      <c r="AJ13" s="2">
        <v>20.0</v>
      </c>
      <c r="AK13" s="2">
        <v>18.0</v>
      </c>
    </row>
    <row r="14">
      <c r="A14" s="1" t="s">
        <v>117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0">
        <v>2.0</v>
      </c>
      <c r="X14" s="20">
        <v>2.0</v>
      </c>
      <c r="Y14" s="20">
        <v>2.0</v>
      </c>
      <c r="Z14" s="20">
        <v>2.0</v>
      </c>
      <c r="AA14" s="20">
        <v>2.0</v>
      </c>
      <c r="AB14" s="20">
        <v>2.0</v>
      </c>
      <c r="AC14" s="20">
        <v>2.0</v>
      </c>
      <c r="AD14" s="20">
        <v>2.0</v>
      </c>
      <c r="AE14" s="20">
        <v>2.0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</row>
    <row r="15">
      <c r="A15" s="1" t="s">
        <v>118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0">
        <v>1.0</v>
      </c>
      <c r="U15" s="20">
        <v>1.0</v>
      </c>
      <c r="V15" s="2">
        <v>0.0</v>
      </c>
      <c r="W15" s="20">
        <v>1.0</v>
      </c>
      <c r="X15" s="20">
        <v>1.0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</row>
    <row r="16">
      <c r="A16" s="1" t="s">
        <v>119</v>
      </c>
      <c r="B16" s="20">
        <v>1.0</v>
      </c>
      <c r="C16" s="20">
        <v>1.0</v>
      </c>
      <c r="D16" s="20">
        <v>1.0</v>
      </c>
      <c r="E16" s="20">
        <v>1.0</v>
      </c>
      <c r="F16" s="20">
        <v>1.0</v>
      </c>
      <c r="G16" s="20">
        <v>1.0</v>
      </c>
      <c r="H16" s="20">
        <v>1.0</v>
      </c>
      <c r="I16" s="20">
        <v>1.0</v>
      </c>
      <c r="J16" s="20">
        <v>1.0</v>
      </c>
      <c r="K16" s="20">
        <v>1.0</v>
      </c>
      <c r="L16" s="20">
        <v>1.0</v>
      </c>
      <c r="M16" s="20">
        <v>1.0</v>
      </c>
      <c r="N16" s="20">
        <v>1.0</v>
      </c>
      <c r="O16" s="20">
        <v>1.0</v>
      </c>
      <c r="P16" s="20">
        <v>1.0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0">
        <v>1.0</v>
      </c>
      <c r="AJ16" s="20">
        <v>1.0</v>
      </c>
      <c r="AK16" s="20">
        <v>1.0</v>
      </c>
    </row>
    <row r="17">
      <c r="A17" s="1" t="s">
        <v>120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0">
        <v>1.0</v>
      </c>
      <c r="U17" s="20">
        <v>1.0</v>
      </c>
      <c r="V17" s="2">
        <v>0.0</v>
      </c>
      <c r="W17" s="20">
        <v>1.0</v>
      </c>
      <c r="X17" s="20">
        <v>1.0</v>
      </c>
      <c r="Y17" s="2">
        <v>0.0</v>
      </c>
      <c r="Z17" s="20">
        <v>1.0</v>
      </c>
      <c r="AA17" s="20">
        <v>1.0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</row>
    <row r="18">
      <c r="A18" s="1" t="s">
        <v>121</v>
      </c>
      <c r="B18" s="2">
        <v>5.0</v>
      </c>
      <c r="C18" s="2">
        <v>5.0</v>
      </c>
      <c r="D18" s="2">
        <v>5.0</v>
      </c>
      <c r="E18" s="2">
        <v>5.0</v>
      </c>
      <c r="F18" s="2">
        <v>5.0</v>
      </c>
      <c r="G18" s="2">
        <v>5.0</v>
      </c>
      <c r="H18" s="2">
        <v>5.0</v>
      </c>
      <c r="I18" s="2">
        <v>5.0</v>
      </c>
      <c r="J18" s="2">
        <v>5.0</v>
      </c>
      <c r="K18" s="2">
        <v>4.0</v>
      </c>
      <c r="L18" s="2">
        <v>4.0</v>
      </c>
      <c r="M18" s="2">
        <v>5.0</v>
      </c>
      <c r="N18" s="2">
        <v>5.0</v>
      </c>
      <c r="O18" s="2">
        <v>5.0</v>
      </c>
      <c r="P18" s="2">
        <v>5.0</v>
      </c>
      <c r="Q18" s="2">
        <v>5.0</v>
      </c>
      <c r="R18" s="2">
        <v>4.0</v>
      </c>
      <c r="S18" s="2">
        <v>5.0</v>
      </c>
      <c r="T18" s="2">
        <v>4.0</v>
      </c>
      <c r="U18" s="2">
        <v>4.0</v>
      </c>
      <c r="V18" s="2">
        <v>4.0</v>
      </c>
      <c r="W18" s="2">
        <v>4.0</v>
      </c>
      <c r="X18" s="2">
        <v>4.0</v>
      </c>
      <c r="Y18" s="2">
        <v>4.0</v>
      </c>
      <c r="Z18" s="20">
        <v>6.0</v>
      </c>
      <c r="AA18" s="2">
        <v>5.0</v>
      </c>
      <c r="AB18" s="20">
        <v>6.0</v>
      </c>
      <c r="AC18" s="2">
        <v>5.0</v>
      </c>
      <c r="AD18" s="2">
        <v>5.0</v>
      </c>
      <c r="AE18" s="20">
        <v>6.0</v>
      </c>
      <c r="AF18" s="2">
        <v>5.0</v>
      </c>
      <c r="AG18" s="2">
        <v>5.0</v>
      </c>
      <c r="AH18" s="2">
        <v>5.0</v>
      </c>
      <c r="AI18" s="2">
        <v>5.0</v>
      </c>
      <c r="AJ18" s="2">
        <v>5.0</v>
      </c>
      <c r="AK18" s="2">
        <v>5.0</v>
      </c>
    </row>
    <row r="19">
      <c r="A19" s="1" t="s">
        <v>122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0">
        <v>8.0</v>
      </c>
      <c r="U19" s="20">
        <v>8.0</v>
      </c>
      <c r="V19" s="20">
        <v>8.0</v>
      </c>
      <c r="W19" s="20">
        <v>8.0</v>
      </c>
      <c r="X19" s="2">
        <v>7.0</v>
      </c>
      <c r="Y19" s="20">
        <v>8.0</v>
      </c>
      <c r="Z19" s="20">
        <v>8.0</v>
      </c>
      <c r="AA19" s="20">
        <v>8.0</v>
      </c>
      <c r="AB19" s="20">
        <v>8.0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</row>
    <row r="20">
      <c r="A20" s="1" t="s">
        <v>123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0">
        <v>2.0</v>
      </c>
      <c r="X20" s="20">
        <v>2.0</v>
      </c>
      <c r="Y20" s="2">
        <v>0.0</v>
      </c>
      <c r="Z20" s="20">
        <v>2.0</v>
      </c>
      <c r="AA20" s="20">
        <v>2.0</v>
      </c>
      <c r="AB20" s="2">
        <v>0.0</v>
      </c>
      <c r="AC20" s="20">
        <v>2.0</v>
      </c>
      <c r="AD20" s="20">
        <v>2.0</v>
      </c>
      <c r="AE20" s="2">
        <v>0.0</v>
      </c>
      <c r="AF20" s="20">
        <v>2.0</v>
      </c>
      <c r="AG20" s="20">
        <v>2.0</v>
      </c>
      <c r="AH20" s="2">
        <v>0.0</v>
      </c>
      <c r="AI20" s="2">
        <v>0.0</v>
      </c>
      <c r="AJ20" s="2">
        <v>0.0</v>
      </c>
      <c r="AK20" s="2">
        <v>0.0</v>
      </c>
    </row>
    <row r="21">
      <c r="A21" s="1" t="s">
        <v>124</v>
      </c>
      <c r="B21" s="20">
        <v>7.0</v>
      </c>
      <c r="C21" s="2">
        <v>6.0</v>
      </c>
      <c r="D21" s="2">
        <v>6.0</v>
      </c>
      <c r="E21" s="20">
        <v>7.0</v>
      </c>
      <c r="F21" s="2">
        <v>6.0</v>
      </c>
      <c r="G21" s="2">
        <v>6.0</v>
      </c>
      <c r="H21" s="20">
        <v>7.0</v>
      </c>
      <c r="I21" s="2">
        <v>6.0</v>
      </c>
      <c r="J21" s="2">
        <v>6.0</v>
      </c>
      <c r="K21" s="2">
        <v>6.0</v>
      </c>
      <c r="L21" s="2">
        <v>6.0</v>
      </c>
      <c r="M21" s="2">
        <v>6.0</v>
      </c>
      <c r="N21" s="2">
        <v>6.0</v>
      </c>
      <c r="O21" s="2">
        <v>6.0</v>
      </c>
      <c r="P21" s="20">
        <v>7.0</v>
      </c>
      <c r="Q21" s="20">
        <v>7.0</v>
      </c>
      <c r="R21" s="2">
        <v>6.0</v>
      </c>
      <c r="S21" s="2">
        <v>6.0</v>
      </c>
      <c r="T21" s="2">
        <v>6.0</v>
      </c>
      <c r="U21" s="2">
        <v>5.0</v>
      </c>
      <c r="V21" s="2">
        <v>6.0</v>
      </c>
      <c r="W21" s="2">
        <v>5.0</v>
      </c>
      <c r="X21" s="2">
        <v>5.0</v>
      </c>
      <c r="Y21" s="2">
        <v>5.0</v>
      </c>
      <c r="Z21" s="20">
        <v>7.0</v>
      </c>
      <c r="AA21" s="20">
        <v>7.0</v>
      </c>
      <c r="AB21" s="20">
        <v>7.0</v>
      </c>
      <c r="AC21" s="20">
        <v>7.0</v>
      </c>
      <c r="AD21" s="20">
        <v>7.0</v>
      </c>
      <c r="AE21" s="20">
        <v>7.0</v>
      </c>
      <c r="AF21" s="20">
        <v>7.0</v>
      </c>
      <c r="AG21" s="2">
        <v>6.0</v>
      </c>
      <c r="AH21" s="20">
        <v>7.0</v>
      </c>
      <c r="AI21" s="20">
        <v>7.0</v>
      </c>
      <c r="AJ21" s="2">
        <v>6.0</v>
      </c>
      <c r="AK21" s="2">
        <v>6.0</v>
      </c>
    </row>
    <row r="22">
      <c r="A22" s="21" t="s">
        <v>125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0">
        <v>2.0</v>
      </c>
      <c r="R22" s="20">
        <v>2.0</v>
      </c>
      <c r="S22" s="20">
        <v>2.0</v>
      </c>
      <c r="T22" s="20">
        <v>2.0</v>
      </c>
      <c r="U22" s="20">
        <v>2.0</v>
      </c>
      <c r="V22" s="20">
        <v>2.0</v>
      </c>
      <c r="W22" s="20">
        <v>2.0</v>
      </c>
      <c r="X22" s="20">
        <v>2.0</v>
      </c>
      <c r="Y22" s="20">
        <v>2.0</v>
      </c>
      <c r="Z22" s="20">
        <v>2.0</v>
      </c>
      <c r="AA22" s="20">
        <v>2.0</v>
      </c>
      <c r="AB22" s="20">
        <v>2.0</v>
      </c>
      <c r="AC22" s="20">
        <v>2.0</v>
      </c>
      <c r="AD22" s="20">
        <v>2.0</v>
      </c>
      <c r="AE22" s="20">
        <v>2.0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</row>
    <row r="23">
      <c r="A23" s="1" t="s">
        <v>126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0">
        <v>1.0</v>
      </c>
      <c r="S23" s="20">
        <v>1.0</v>
      </c>
      <c r="T23" s="2">
        <v>0.0</v>
      </c>
      <c r="U23" s="20">
        <v>1.0</v>
      </c>
      <c r="V23" s="20">
        <v>1.0</v>
      </c>
      <c r="W23" s="2">
        <v>0.0</v>
      </c>
      <c r="X23" s="20">
        <v>1.0</v>
      </c>
      <c r="Y23" s="20">
        <v>1.0</v>
      </c>
      <c r="Z23" s="2">
        <v>0.0</v>
      </c>
      <c r="AA23" s="20">
        <v>1.0</v>
      </c>
      <c r="AB23" s="20">
        <v>1.0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</row>
    <row r="24">
      <c r="A24" s="1" t="s">
        <v>127</v>
      </c>
      <c r="B24" s="2">
        <v>17.0</v>
      </c>
      <c r="C24" s="2">
        <v>16.0</v>
      </c>
      <c r="D24" s="2">
        <v>16.0</v>
      </c>
      <c r="E24" s="20">
        <v>18.0</v>
      </c>
      <c r="F24" s="2">
        <v>17.0</v>
      </c>
      <c r="G24" s="2">
        <v>16.0</v>
      </c>
      <c r="H24" s="2">
        <v>17.0</v>
      </c>
      <c r="I24" s="2">
        <v>15.0</v>
      </c>
      <c r="J24" s="2">
        <v>16.0</v>
      </c>
      <c r="K24" s="2">
        <v>14.0</v>
      </c>
      <c r="L24" s="2">
        <v>14.0</v>
      </c>
      <c r="M24" s="2">
        <v>14.0</v>
      </c>
      <c r="N24" s="2">
        <v>16.0</v>
      </c>
      <c r="O24" s="2">
        <v>16.0</v>
      </c>
      <c r="P24" s="2">
        <v>17.0</v>
      </c>
      <c r="Q24" s="2">
        <v>16.0</v>
      </c>
      <c r="R24" s="2">
        <v>16.0</v>
      </c>
      <c r="S24" s="2">
        <v>16.0</v>
      </c>
      <c r="T24" s="2">
        <v>13.0</v>
      </c>
      <c r="U24" s="2">
        <v>12.0</v>
      </c>
      <c r="V24" s="2">
        <v>13.0</v>
      </c>
      <c r="W24" s="2">
        <v>11.0</v>
      </c>
      <c r="X24" s="2">
        <v>11.0</v>
      </c>
      <c r="Y24" s="2">
        <v>12.0</v>
      </c>
      <c r="Z24" s="2">
        <v>13.0</v>
      </c>
      <c r="AA24" s="2">
        <v>12.0</v>
      </c>
      <c r="AB24" s="2">
        <v>14.0</v>
      </c>
      <c r="AC24" s="2">
        <v>17.0</v>
      </c>
      <c r="AD24" s="2">
        <v>17.0</v>
      </c>
      <c r="AE24" s="20">
        <v>18.0</v>
      </c>
      <c r="AF24" s="2">
        <v>17.0</v>
      </c>
      <c r="AG24" s="2">
        <v>16.0</v>
      </c>
      <c r="AH24" s="2">
        <v>16.0</v>
      </c>
      <c r="AI24" s="2">
        <v>17.0</v>
      </c>
      <c r="AJ24" s="2">
        <v>16.0</v>
      </c>
      <c r="AK24" s="2">
        <v>16.0</v>
      </c>
    </row>
    <row r="25">
      <c r="A25" s="1" t="s">
        <v>128</v>
      </c>
      <c r="B25" s="20">
        <v>11.0</v>
      </c>
      <c r="C25" s="2">
        <v>10.0</v>
      </c>
      <c r="D25" s="2">
        <v>10.0</v>
      </c>
      <c r="E25" s="20">
        <v>11.0</v>
      </c>
      <c r="F25" s="2">
        <v>10.0</v>
      </c>
      <c r="G25" s="2">
        <v>10.0</v>
      </c>
      <c r="H25" s="2">
        <v>10.0</v>
      </c>
      <c r="I25" s="2">
        <v>10.0</v>
      </c>
      <c r="J25" s="2">
        <v>10.0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0">
        <v>11.0</v>
      </c>
      <c r="AJ25" s="2">
        <v>10.0</v>
      </c>
      <c r="AK25" s="2">
        <v>10.0</v>
      </c>
    </row>
    <row r="26">
      <c r="A26" s="1" t="s">
        <v>129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6.0</v>
      </c>
      <c r="L26" s="2">
        <v>6.0</v>
      </c>
      <c r="M26" s="2">
        <v>6.0</v>
      </c>
      <c r="N26" s="2">
        <v>6.0</v>
      </c>
      <c r="O26" s="2">
        <v>6.0</v>
      </c>
      <c r="P26" s="2">
        <v>6.0</v>
      </c>
      <c r="Q26" s="2">
        <v>6.0</v>
      </c>
      <c r="R26" s="2">
        <v>6.0</v>
      </c>
      <c r="S26" s="2">
        <v>6.0</v>
      </c>
      <c r="T26" s="2">
        <v>5.0</v>
      </c>
      <c r="U26" s="2">
        <v>5.0</v>
      </c>
      <c r="V26" s="2">
        <v>5.0</v>
      </c>
      <c r="W26" s="2">
        <v>5.0</v>
      </c>
      <c r="X26" s="2">
        <v>5.0</v>
      </c>
      <c r="Y26" s="2">
        <v>5.0</v>
      </c>
      <c r="Z26" s="2">
        <v>6.0</v>
      </c>
      <c r="AA26" s="2">
        <v>6.0</v>
      </c>
      <c r="AB26" s="2">
        <v>6.0</v>
      </c>
      <c r="AC26" s="20">
        <v>7.0</v>
      </c>
      <c r="AD26" s="20">
        <v>7.0</v>
      </c>
      <c r="AE26" s="20">
        <v>7.0</v>
      </c>
      <c r="AF26" s="20">
        <v>7.0</v>
      </c>
      <c r="AG26" s="2">
        <v>6.0</v>
      </c>
      <c r="AH26" s="2">
        <v>6.0</v>
      </c>
      <c r="AI26" s="2">
        <v>0.0</v>
      </c>
      <c r="AJ26" s="2">
        <v>0.0</v>
      </c>
      <c r="AK26" s="2">
        <v>0.0</v>
      </c>
    </row>
    <row r="27">
      <c r="A27" s="1" t="s">
        <v>130</v>
      </c>
      <c r="B27" s="20">
        <v>10.0</v>
      </c>
      <c r="C27" s="2">
        <v>9.0</v>
      </c>
      <c r="D27" s="2">
        <v>9.0</v>
      </c>
      <c r="E27" s="20">
        <v>10.0</v>
      </c>
      <c r="F27" s="2">
        <v>9.0</v>
      </c>
      <c r="G27" s="2">
        <v>9.0</v>
      </c>
      <c r="H27" s="2">
        <v>9.0</v>
      </c>
      <c r="I27" s="2">
        <v>9.0</v>
      </c>
      <c r="J27" s="2">
        <v>9.0</v>
      </c>
      <c r="K27" s="2">
        <v>8.0</v>
      </c>
      <c r="L27" s="2">
        <v>8.0</v>
      </c>
      <c r="M27" s="2">
        <v>8.0</v>
      </c>
      <c r="N27" s="2">
        <v>9.0</v>
      </c>
      <c r="O27" s="2">
        <v>9.0</v>
      </c>
      <c r="P27" s="2">
        <v>9.0</v>
      </c>
      <c r="Q27" s="2">
        <v>9.0</v>
      </c>
      <c r="R27" s="2">
        <v>8.0</v>
      </c>
      <c r="S27" s="2">
        <v>9.0</v>
      </c>
      <c r="T27" s="2">
        <v>8.0</v>
      </c>
      <c r="U27" s="2">
        <v>8.0</v>
      </c>
      <c r="V27" s="2">
        <v>8.0</v>
      </c>
      <c r="W27" s="2">
        <v>8.0</v>
      </c>
      <c r="X27" s="2">
        <v>7.0</v>
      </c>
      <c r="Y27" s="2">
        <v>8.0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0">
        <v>10.0</v>
      </c>
      <c r="AJ27" s="2">
        <v>9.0</v>
      </c>
      <c r="AK27" s="2">
        <v>9.0</v>
      </c>
    </row>
    <row r="28">
      <c r="A28" s="1" t="s">
        <v>131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0">
        <v>2.0</v>
      </c>
      <c r="R28" s="20">
        <v>2.0</v>
      </c>
      <c r="S28" s="20">
        <v>2.0</v>
      </c>
      <c r="T28" s="20">
        <v>2.0</v>
      </c>
      <c r="U28" s="20">
        <v>2.0</v>
      </c>
      <c r="V28" s="20">
        <v>2.0</v>
      </c>
      <c r="W28" s="20">
        <v>2.0</v>
      </c>
      <c r="X28" s="20">
        <v>2.0</v>
      </c>
      <c r="Y28" s="20">
        <v>2.0</v>
      </c>
      <c r="Z28" s="20">
        <v>2.0</v>
      </c>
      <c r="AA28" s="20">
        <v>2.0</v>
      </c>
      <c r="AB28" s="20">
        <v>2.0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</row>
    <row r="29">
      <c r="A29" s="1" t="s">
        <v>132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0">
        <v>2.0</v>
      </c>
      <c r="L29" s="20">
        <v>2.0</v>
      </c>
      <c r="M29" s="20">
        <v>2.0</v>
      </c>
      <c r="N29" s="20">
        <v>2.0</v>
      </c>
      <c r="O29" s="20">
        <v>2.0</v>
      </c>
      <c r="P29" s="20">
        <v>2.0</v>
      </c>
      <c r="Q29" s="20">
        <v>2.0</v>
      </c>
      <c r="R29" s="20">
        <v>2.0</v>
      </c>
      <c r="S29" s="20">
        <v>2.0</v>
      </c>
      <c r="T29" s="20">
        <v>2.0</v>
      </c>
      <c r="U29" s="20">
        <v>2.0</v>
      </c>
      <c r="V29" s="20">
        <v>2.0</v>
      </c>
      <c r="W29" s="20">
        <v>2.0</v>
      </c>
      <c r="X29" s="20">
        <v>2.0</v>
      </c>
      <c r="Y29" s="20">
        <v>2.0</v>
      </c>
      <c r="Z29" s="20">
        <v>2.0</v>
      </c>
      <c r="AA29" s="20">
        <v>2.0</v>
      </c>
      <c r="AB29" s="20">
        <v>2.0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</row>
    <row r="30">
      <c r="A30" s="1" t="s">
        <v>133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0">
        <v>1.0</v>
      </c>
      <c r="R30" s="20">
        <v>1.0</v>
      </c>
      <c r="S30" s="20">
        <v>1.0</v>
      </c>
      <c r="T30" s="20">
        <v>1.0</v>
      </c>
      <c r="U30" s="20">
        <v>1.0</v>
      </c>
      <c r="V30" s="20">
        <v>1.0</v>
      </c>
      <c r="W30" s="20">
        <v>1.0</v>
      </c>
      <c r="X30" s="20">
        <v>1.0</v>
      </c>
      <c r="Y30" s="20">
        <v>1.0</v>
      </c>
      <c r="Z30" s="20">
        <v>1.0</v>
      </c>
      <c r="AA30" s="20">
        <v>1.0</v>
      </c>
      <c r="AB30" s="20">
        <v>1.0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</row>
    <row r="31">
      <c r="A31" s="1" t="s">
        <v>134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7.0</v>
      </c>
      <c r="L31" s="2">
        <v>7.0</v>
      </c>
      <c r="M31" s="2">
        <v>7.0</v>
      </c>
      <c r="N31" s="20">
        <v>8.0</v>
      </c>
      <c r="O31" s="20">
        <v>8.0</v>
      </c>
      <c r="P31" s="20">
        <v>8.0</v>
      </c>
      <c r="Q31" s="2">
        <v>7.0</v>
      </c>
      <c r="R31" s="2">
        <v>7.0</v>
      </c>
      <c r="S31" s="2">
        <v>7.0</v>
      </c>
      <c r="T31" s="2">
        <v>7.0</v>
      </c>
      <c r="U31" s="2">
        <v>6.0</v>
      </c>
      <c r="V31" s="2">
        <v>7.0</v>
      </c>
      <c r="W31" s="2">
        <v>6.0</v>
      </c>
      <c r="X31" s="2">
        <v>6.0</v>
      </c>
      <c r="Y31" s="2">
        <v>7.0</v>
      </c>
      <c r="Z31" s="20">
        <v>8.0</v>
      </c>
      <c r="AA31" s="2">
        <v>7.0</v>
      </c>
      <c r="AB31" s="20">
        <v>8.0</v>
      </c>
      <c r="AC31" s="20">
        <v>8.0</v>
      </c>
      <c r="AD31" s="20">
        <v>8.0</v>
      </c>
      <c r="AE31" s="20">
        <v>8.0</v>
      </c>
      <c r="AF31" s="20">
        <v>8.0</v>
      </c>
      <c r="AG31" s="20">
        <v>8.0</v>
      </c>
      <c r="AH31" s="20">
        <v>8.0</v>
      </c>
      <c r="AI31" s="2">
        <v>0.0</v>
      </c>
      <c r="AJ31" s="2">
        <v>0.0</v>
      </c>
      <c r="AK31" s="2">
        <v>0.0</v>
      </c>
    </row>
    <row r="32">
      <c r="A32" s="1" t="s">
        <v>63</v>
      </c>
      <c r="B32" s="20">
        <v>1.0</v>
      </c>
      <c r="C32" s="20">
        <v>1.0</v>
      </c>
      <c r="D32" s="20">
        <v>1.0</v>
      </c>
      <c r="E32" s="20">
        <v>1.0</v>
      </c>
      <c r="F32" s="20">
        <v>1.0</v>
      </c>
      <c r="G32" s="20">
        <v>1.0</v>
      </c>
      <c r="H32" s="20">
        <v>1.0</v>
      </c>
      <c r="I32" s="20">
        <v>1.0</v>
      </c>
      <c r="J32" s="20">
        <v>1.0</v>
      </c>
      <c r="K32" s="20">
        <v>1.0</v>
      </c>
      <c r="L32" s="20">
        <v>1.0</v>
      </c>
      <c r="M32" s="20">
        <v>1.0</v>
      </c>
      <c r="N32" s="20">
        <v>1.0</v>
      </c>
      <c r="O32" s="20">
        <v>1.0</v>
      </c>
      <c r="P32" s="20">
        <v>1.0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  <c r="AC32" s="20">
        <v>1.0</v>
      </c>
      <c r="AD32" s="20">
        <v>1.0</v>
      </c>
      <c r="AE32" s="20">
        <v>1.0</v>
      </c>
      <c r="AF32" s="20">
        <v>1.0</v>
      </c>
      <c r="AG32" s="20">
        <v>1.0</v>
      </c>
      <c r="AH32" s="20">
        <v>1.0</v>
      </c>
      <c r="AI32" s="20">
        <v>1.0</v>
      </c>
      <c r="AJ32" s="20">
        <v>1.0</v>
      </c>
      <c r="AK32" s="20">
        <v>1.0</v>
      </c>
    </row>
    <row r="33">
      <c r="A33" s="1" t="s">
        <v>64</v>
      </c>
      <c r="B33" s="20">
        <v>1.0</v>
      </c>
      <c r="C33" s="20">
        <v>1.0</v>
      </c>
      <c r="D33" s="20">
        <v>1.0</v>
      </c>
      <c r="E33" s="20">
        <v>1.0</v>
      </c>
      <c r="F33" s="20">
        <v>1.0</v>
      </c>
      <c r="G33" s="20">
        <v>1.0</v>
      </c>
      <c r="H33" s="20">
        <v>1.0</v>
      </c>
      <c r="I33" s="20">
        <v>1.0</v>
      </c>
      <c r="J33" s="20">
        <v>1.0</v>
      </c>
      <c r="K33" s="20">
        <v>1.0</v>
      </c>
      <c r="L33" s="20">
        <v>1.0</v>
      </c>
      <c r="M33" s="20">
        <v>1.0</v>
      </c>
      <c r="N33" s="20">
        <v>1.0</v>
      </c>
      <c r="O33" s="20">
        <v>1.0</v>
      </c>
      <c r="P33" s="20">
        <v>1.0</v>
      </c>
      <c r="Q33" s="20">
        <v>1.0</v>
      </c>
      <c r="R33" s="20">
        <v>1.0</v>
      </c>
      <c r="S33" s="20">
        <v>1.0</v>
      </c>
      <c r="T33" s="20">
        <v>1.0</v>
      </c>
      <c r="U33" s="20">
        <v>1.0</v>
      </c>
      <c r="V33" s="20">
        <v>1.0</v>
      </c>
      <c r="W33" s="20">
        <v>1.0</v>
      </c>
      <c r="X33" s="20">
        <v>1.0</v>
      </c>
      <c r="Y33" s="20">
        <v>1.0</v>
      </c>
      <c r="Z33" s="20">
        <v>1.0</v>
      </c>
      <c r="AA33" s="20">
        <v>1.0</v>
      </c>
      <c r="AB33" s="20">
        <v>1.0</v>
      </c>
      <c r="AC33" s="20">
        <v>1.0</v>
      </c>
      <c r="AD33" s="20">
        <v>1.0</v>
      </c>
      <c r="AE33" s="20">
        <v>1.0</v>
      </c>
      <c r="AF33" s="20">
        <v>1.0</v>
      </c>
      <c r="AG33" s="20">
        <v>1.0</v>
      </c>
      <c r="AH33" s="20">
        <v>1.0</v>
      </c>
      <c r="AI33" s="20">
        <v>1.0</v>
      </c>
      <c r="AJ33" s="20">
        <v>1.0</v>
      </c>
      <c r="AK33" s="20">
        <v>1.0</v>
      </c>
    </row>
    <row r="34">
      <c r="A34" s="1" t="s">
        <v>65</v>
      </c>
      <c r="B34" s="20">
        <v>1.0</v>
      </c>
      <c r="C34" s="20">
        <v>1.0</v>
      </c>
      <c r="D34" s="20">
        <v>1.0</v>
      </c>
      <c r="E34" s="20">
        <v>1.0</v>
      </c>
      <c r="F34" s="20">
        <v>1.0</v>
      </c>
      <c r="G34" s="20">
        <v>1.0</v>
      </c>
      <c r="H34" s="20">
        <v>1.0</v>
      </c>
      <c r="I34" s="20">
        <v>1.0</v>
      </c>
      <c r="J34" s="20">
        <v>1.0</v>
      </c>
      <c r="K34" s="20">
        <v>1.0</v>
      </c>
      <c r="L34" s="20">
        <v>1.0</v>
      </c>
      <c r="M34" s="20">
        <v>1.0</v>
      </c>
      <c r="N34" s="20">
        <v>1.0</v>
      </c>
      <c r="O34" s="20">
        <v>1.0</v>
      </c>
      <c r="P34" s="20">
        <v>1.0</v>
      </c>
      <c r="Q34" s="20">
        <v>1.0</v>
      </c>
      <c r="R34" s="20">
        <v>1.0</v>
      </c>
      <c r="S34" s="20">
        <v>1.0</v>
      </c>
      <c r="T34" s="20">
        <v>1.0</v>
      </c>
      <c r="U34" s="20">
        <v>1.0</v>
      </c>
      <c r="V34" s="20">
        <v>1.0</v>
      </c>
      <c r="W34" s="20">
        <v>1.0</v>
      </c>
      <c r="X34" s="20">
        <v>1.0</v>
      </c>
      <c r="Y34" s="20">
        <v>1.0</v>
      </c>
      <c r="Z34" s="20">
        <v>1.0</v>
      </c>
      <c r="AA34" s="20">
        <v>1.0</v>
      </c>
      <c r="AB34" s="20">
        <v>1.0</v>
      </c>
      <c r="AC34" s="20">
        <v>1.0</v>
      </c>
      <c r="AD34" s="20">
        <v>1.0</v>
      </c>
      <c r="AE34" s="20">
        <v>1.0</v>
      </c>
      <c r="AF34" s="20">
        <v>1.0</v>
      </c>
      <c r="AG34" s="20">
        <v>1.0</v>
      </c>
      <c r="AH34" s="20">
        <v>1.0</v>
      </c>
      <c r="AI34" s="20">
        <v>1.0</v>
      </c>
      <c r="AJ34" s="20">
        <v>1.0</v>
      </c>
      <c r="AK34" s="20">
        <v>1.0</v>
      </c>
    </row>
    <row r="35">
      <c r="A35" s="1" t="s">
        <v>66</v>
      </c>
      <c r="B35" s="20">
        <v>2.0</v>
      </c>
      <c r="C35" s="20">
        <v>2.0</v>
      </c>
      <c r="D35" s="20">
        <v>2.0</v>
      </c>
      <c r="E35" s="20">
        <v>2.0</v>
      </c>
      <c r="F35" s="20">
        <v>2.0</v>
      </c>
      <c r="G35" s="20">
        <v>2.0</v>
      </c>
      <c r="H35" s="20">
        <v>2.0</v>
      </c>
      <c r="I35" s="20">
        <v>2.0</v>
      </c>
      <c r="J35" s="20">
        <v>2.0</v>
      </c>
      <c r="K35" s="20">
        <v>2.0</v>
      </c>
      <c r="L35" s="20">
        <v>2.0</v>
      </c>
      <c r="M35" s="20">
        <v>2.0</v>
      </c>
      <c r="N35" s="20">
        <v>2.0</v>
      </c>
      <c r="O35" s="20">
        <v>2.0</v>
      </c>
      <c r="P35" s="20">
        <v>2.0</v>
      </c>
      <c r="Q35" s="20">
        <v>2.0</v>
      </c>
      <c r="R35" s="20">
        <v>2.0</v>
      </c>
      <c r="S35" s="20">
        <v>2.0</v>
      </c>
      <c r="T35" s="20">
        <v>2.0</v>
      </c>
      <c r="U35" s="20">
        <v>2.0</v>
      </c>
      <c r="V35" s="20">
        <v>2.0</v>
      </c>
      <c r="W35" s="20">
        <v>2.0</v>
      </c>
      <c r="X35" s="20">
        <v>2.0</v>
      </c>
      <c r="Y35" s="20">
        <v>2.0</v>
      </c>
      <c r="Z35" s="20">
        <v>2.0</v>
      </c>
      <c r="AA35" s="20">
        <v>2.0</v>
      </c>
      <c r="AB35" s="20">
        <v>2.0</v>
      </c>
      <c r="AC35" s="20">
        <v>2.0</v>
      </c>
      <c r="AD35" s="20">
        <v>2.0</v>
      </c>
      <c r="AE35" s="20">
        <v>2.0</v>
      </c>
      <c r="AF35" s="20">
        <v>2.0</v>
      </c>
      <c r="AG35" s="20">
        <v>2.0</v>
      </c>
      <c r="AH35" s="20">
        <v>2.0</v>
      </c>
      <c r="AI35" s="20">
        <v>2.0</v>
      </c>
      <c r="AJ35" s="20">
        <v>2.0</v>
      </c>
      <c r="AK35" s="20">
        <v>2.0</v>
      </c>
    </row>
    <row r="36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Q36" s="1" t="s">
        <v>15</v>
      </c>
      <c r="R36" s="1" t="s">
        <v>16</v>
      </c>
      <c r="S36" s="1" t="s">
        <v>17</v>
      </c>
      <c r="T36" s="1" t="s">
        <v>18</v>
      </c>
      <c r="U36" s="1" t="s">
        <v>19</v>
      </c>
      <c r="V36" s="1" t="s">
        <v>20</v>
      </c>
      <c r="W36" s="1" t="s">
        <v>21</v>
      </c>
      <c r="X36" s="1" t="s">
        <v>22</v>
      </c>
      <c r="Y36" s="1" t="s">
        <v>23</v>
      </c>
      <c r="Z36" s="1" t="s">
        <v>24</v>
      </c>
      <c r="AA36" s="1" t="s">
        <v>25</v>
      </c>
      <c r="AB36" s="1" t="s">
        <v>26</v>
      </c>
      <c r="AC36" s="1" t="s">
        <v>27</v>
      </c>
      <c r="AD36" s="1" t="s">
        <v>28</v>
      </c>
      <c r="AE36" s="1" t="s">
        <v>29</v>
      </c>
      <c r="AF36" s="1" t="s">
        <v>30</v>
      </c>
      <c r="AG36" s="1" t="s">
        <v>31</v>
      </c>
      <c r="AH36" s="1" t="s">
        <v>32</v>
      </c>
      <c r="AI36" s="1" t="s">
        <v>33</v>
      </c>
      <c r="AJ36" s="1" t="s">
        <v>34</v>
      </c>
      <c r="AK36" s="1" t="s">
        <v>35</v>
      </c>
    </row>
    <row r="37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</sheetData>
  <conditionalFormatting sqref="B2:AK35">
    <cfRule type="cellIs" dxfId="0" priority="1" operator="equal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/>
      <c r="AM1" s="4"/>
      <c r="AN1" s="19" t="s">
        <v>67</v>
      </c>
    </row>
    <row r="2">
      <c r="A2" s="4" t="s">
        <v>105</v>
      </c>
      <c r="B2" s="7">
        <f t="array" ref="B2:AK35">IF(
    'Sea (Original Data)'!B2:AK35 = "",
    "",
    'Sea (Original Data)'!B2:AK35 / (MMULT(TRANSPOSE(SIGN(ROW('Sea (Original Data)'!B2:AK35))), N('Sea (Original Data)'!B2:AK35)))
  )</f>
        <v>0.04166666667</v>
      </c>
      <c r="C2" s="7">
        <v>0.03125</v>
      </c>
      <c r="D2" s="7">
        <v>0.0</v>
      </c>
      <c r="E2" s="7">
        <v>0.041666666666666664</v>
      </c>
      <c r="F2" s="7">
        <v>0.03125</v>
      </c>
      <c r="G2" s="7">
        <v>0.0</v>
      </c>
      <c r="H2" s="7">
        <v>0.03125</v>
      </c>
      <c r="I2" s="7">
        <v>0.03125</v>
      </c>
      <c r="J2" s="7">
        <v>0.0</v>
      </c>
      <c r="K2" s="7">
        <v>0.03125</v>
      </c>
      <c r="L2" s="7">
        <v>0.03125</v>
      </c>
      <c r="M2" s="7">
        <v>0.0</v>
      </c>
      <c r="N2" s="7">
        <v>0.030612244897959183</v>
      </c>
      <c r="O2" s="7">
        <v>0.030612244897959183</v>
      </c>
      <c r="P2" s="7">
        <v>0.0</v>
      </c>
      <c r="Q2" s="7">
        <v>0.030612244897959183</v>
      </c>
      <c r="R2" s="7">
        <v>0.030612244897959183</v>
      </c>
      <c r="S2" s="7">
        <v>0.0</v>
      </c>
      <c r="T2" s="7">
        <v>0.03125</v>
      </c>
      <c r="U2" s="7">
        <v>0.03125</v>
      </c>
      <c r="V2" s="7">
        <v>0.0</v>
      </c>
      <c r="W2" s="7">
        <v>0.03125</v>
      </c>
      <c r="X2" s="7">
        <v>0.030927835051546393</v>
      </c>
      <c r="Y2" s="7">
        <v>0.0</v>
      </c>
      <c r="Z2" s="7">
        <v>0.020833333333333332</v>
      </c>
      <c r="AA2" s="7">
        <v>0.020618556701030927</v>
      </c>
      <c r="AB2" s="7">
        <v>0.0</v>
      </c>
      <c r="AC2" s="7">
        <v>0.04081632653061224</v>
      </c>
      <c r="AD2" s="7">
        <v>0.04081632653061224</v>
      </c>
      <c r="AE2" s="7">
        <v>0.0</v>
      </c>
      <c r="AF2" s="7">
        <v>0.052083333333333336</v>
      </c>
      <c r="AG2" s="7">
        <v>0.03125</v>
      </c>
      <c r="AH2" s="7">
        <v>0.0</v>
      </c>
      <c r="AI2" s="7">
        <v>0.041666666666666664</v>
      </c>
      <c r="AJ2" s="7">
        <v>0.03125</v>
      </c>
      <c r="AK2" s="7">
        <v>0.0</v>
      </c>
      <c r="AM2" s="6" t="s">
        <v>105</v>
      </c>
      <c r="AN2" s="8">
        <v>200.0</v>
      </c>
    </row>
    <row r="3">
      <c r="A3" s="4" t="s">
        <v>106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0.041666666666666664</v>
      </c>
      <c r="I3" s="7">
        <v>0.041666666666666664</v>
      </c>
      <c r="J3" s="7">
        <v>0.041666666666666664</v>
      </c>
      <c r="K3" s="7">
        <v>0.03125</v>
      </c>
      <c r="L3" s="7">
        <v>0.03125</v>
      </c>
      <c r="M3" s="7">
        <v>0.03125</v>
      </c>
      <c r="N3" s="7">
        <v>0.04081632653061224</v>
      </c>
      <c r="O3" s="7">
        <v>0.04081632653061224</v>
      </c>
      <c r="P3" s="7">
        <v>0.04081632653061224</v>
      </c>
      <c r="Q3" s="7">
        <v>0.04081632653061224</v>
      </c>
      <c r="R3" s="7">
        <v>0.04081632653061224</v>
      </c>
      <c r="S3" s="7">
        <v>0.04081632653061224</v>
      </c>
      <c r="T3" s="7">
        <v>0.03125</v>
      </c>
      <c r="U3" s="7">
        <v>0.03125</v>
      </c>
      <c r="V3" s="7">
        <v>0.03125</v>
      </c>
      <c r="W3" s="7">
        <v>0.03125</v>
      </c>
      <c r="X3" s="7">
        <v>0.030927835051546393</v>
      </c>
      <c r="Y3" s="7">
        <v>0.030927835051546393</v>
      </c>
      <c r="Z3" s="7">
        <v>0.041666666666666664</v>
      </c>
      <c r="AA3" s="7">
        <v>0.041237113402061855</v>
      </c>
      <c r="AB3" s="7">
        <v>0.030927835051546393</v>
      </c>
      <c r="AC3" s="7">
        <v>0.04081632653061224</v>
      </c>
      <c r="AD3" s="7">
        <v>0.04081632653061224</v>
      </c>
      <c r="AE3" s="7">
        <v>0.05102040816326531</v>
      </c>
      <c r="AF3" s="7">
        <v>0.041666666666666664</v>
      </c>
      <c r="AG3" s="7">
        <v>0.041666666666666664</v>
      </c>
      <c r="AH3" s="7">
        <v>0.041666666666666664</v>
      </c>
      <c r="AI3" s="7">
        <v>0.0</v>
      </c>
      <c r="AJ3" s="7">
        <v>0.0</v>
      </c>
      <c r="AK3" s="7">
        <v>0.0</v>
      </c>
      <c r="AM3" s="6" t="s">
        <v>106</v>
      </c>
      <c r="AN3" s="8">
        <v>5000.0</v>
      </c>
    </row>
    <row r="4">
      <c r="A4" s="4" t="s">
        <v>107</v>
      </c>
      <c r="B4" s="7">
        <v>0.0</v>
      </c>
      <c r="C4" s="7">
        <v>0.0</v>
      </c>
      <c r="D4" s="7">
        <v>0.010416666666666666</v>
      </c>
      <c r="E4" s="7">
        <v>0.0</v>
      </c>
      <c r="F4" s="7">
        <v>0.0</v>
      </c>
      <c r="G4" s="7">
        <v>0.010416666666666666</v>
      </c>
      <c r="H4" s="7">
        <v>0.0</v>
      </c>
      <c r="I4" s="7">
        <v>0.0</v>
      </c>
      <c r="J4" s="7">
        <v>0.010416666666666666</v>
      </c>
      <c r="K4" s="7">
        <v>0.0</v>
      </c>
      <c r="L4" s="7">
        <v>0.0</v>
      </c>
      <c r="M4" s="7">
        <v>0.010416666666666666</v>
      </c>
      <c r="N4" s="7">
        <v>0.0</v>
      </c>
      <c r="O4" s="7">
        <v>0.0</v>
      </c>
      <c r="P4" s="7">
        <v>0.01020408163265306</v>
      </c>
      <c r="Q4" s="7">
        <v>0.0</v>
      </c>
      <c r="R4" s="7">
        <v>0.0</v>
      </c>
      <c r="S4" s="7">
        <v>0.01020408163265306</v>
      </c>
      <c r="T4" s="7">
        <v>0.0</v>
      </c>
      <c r="U4" s="7">
        <v>0.0</v>
      </c>
      <c r="V4" s="7">
        <v>0.010416666666666666</v>
      </c>
      <c r="W4" s="7">
        <v>0.0</v>
      </c>
      <c r="X4" s="7">
        <v>0.0</v>
      </c>
      <c r="Y4" s="7">
        <v>0.010309278350515464</v>
      </c>
      <c r="Z4" s="7">
        <v>0.0</v>
      </c>
      <c r="AA4" s="7">
        <v>0.0</v>
      </c>
      <c r="AB4" s="7">
        <v>0.010309278350515464</v>
      </c>
      <c r="AC4" s="7">
        <v>0.0</v>
      </c>
      <c r="AD4" s="7">
        <v>0.0</v>
      </c>
      <c r="AE4" s="7">
        <v>0.01020408163265306</v>
      </c>
      <c r="AF4" s="7">
        <v>0.0</v>
      </c>
      <c r="AG4" s="7">
        <v>0.0</v>
      </c>
      <c r="AH4" s="7">
        <v>0.010416666666666666</v>
      </c>
      <c r="AI4" s="7">
        <v>0.0</v>
      </c>
      <c r="AJ4" s="7">
        <v>0.0</v>
      </c>
      <c r="AK4" s="7">
        <v>0.010416666666666666</v>
      </c>
      <c r="AM4" s="6" t="s">
        <v>135</v>
      </c>
      <c r="AN4" s="8">
        <v>15000.0</v>
      </c>
    </row>
    <row r="5">
      <c r="A5" s="4" t="s">
        <v>108</v>
      </c>
      <c r="B5" s="7">
        <v>0.0</v>
      </c>
      <c r="C5" s="7">
        <v>0.0</v>
      </c>
      <c r="D5" s="7">
        <v>0.052083333333333336</v>
      </c>
      <c r="E5" s="7">
        <v>0.0</v>
      </c>
      <c r="F5" s="7">
        <v>0.0</v>
      </c>
      <c r="G5" s="7">
        <v>0.052083333333333336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0.052083333333333336</v>
      </c>
      <c r="AI5" s="7">
        <v>0.0</v>
      </c>
      <c r="AJ5" s="7">
        <v>0.0</v>
      </c>
      <c r="AK5" s="7">
        <v>0.052083333333333336</v>
      </c>
      <c r="AM5" s="6" t="s">
        <v>108</v>
      </c>
      <c r="AN5" s="8">
        <v>5000.0</v>
      </c>
    </row>
    <row r="6">
      <c r="A6" s="4" t="s">
        <v>109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0.041666666666666664</v>
      </c>
      <c r="L6" s="7">
        <v>0.041666666666666664</v>
      </c>
      <c r="M6" s="7">
        <v>0.041666666666666664</v>
      </c>
      <c r="N6" s="7">
        <v>0.05102040816326531</v>
      </c>
      <c r="O6" s="7">
        <v>0.05102040816326531</v>
      </c>
      <c r="P6" s="7">
        <v>0.05102040816326531</v>
      </c>
      <c r="Q6" s="7">
        <v>0.04081632653061224</v>
      </c>
      <c r="R6" s="7">
        <v>0.04081632653061224</v>
      </c>
      <c r="S6" s="7">
        <v>0.04081632653061224</v>
      </c>
      <c r="T6" s="7">
        <v>0.041666666666666664</v>
      </c>
      <c r="U6" s="7">
        <v>0.041666666666666664</v>
      </c>
      <c r="V6" s="7">
        <v>0.041666666666666664</v>
      </c>
      <c r="W6" s="7">
        <v>0.041666666666666664</v>
      </c>
      <c r="X6" s="7">
        <v>0.041237113402061855</v>
      </c>
      <c r="Y6" s="7">
        <v>0.041237113402061855</v>
      </c>
      <c r="Z6" s="7">
        <v>0.041666666666666664</v>
      </c>
      <c r="AA6" s="7">
        <v>0.041237113402061855</v>
      </c>
      <c r="AB6" s="7">
        <v>0.041237113402061855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M6" s="6" t="s">
        <v>136</v>
      </c>
      <c r="AN6" s="8">
        <v>1000.0</v>
      </c>
    </row>
    <row r="7">
      <c r="A7" s="4" t="s">
        <v>110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0.052083333333333336</v>
      </c>
      <c r="L7" s="7">
        <v>0.052083333333333336</v>
      </c>
      <c r="M7" s="7">
        <v>0.052083333333333336</v>
      </c>
      <c r="N7" s="7">
        <v>0.061224489795918366</v>
      </c>
      <c r="O7" s="7">
        <v>0.061224489795918366</v>
      </c>
      <c r="P7" s="7">
        <v>0.061224489795918366</v>
      </c>
      <c r="Q7" s="7">
        <v>0.061224489795918366</v>
      </c>
      <c r="R7" s="7">
        <v>0.05102040816326531</v>
      </c>
      <c r="S7" s="7">
        <v>0.061224489795918366</v>
      </c>
      <c r="T7" s="7">
        <v>0.052083333333333336</v>
      </c>
      <c r="U7" s="7">
        <v>0.052083333333333336</v>
      </c>
      <c r="V7" s="7">
        <v>0.052083333333333336</v>
      </c>
      <c r="W7" s="7">
        <v>0.052083333333333336</v>
      </c>
      <c r="X7" s="7">
        <v>0.05154639175257732</v>
      </c>
      <c r="Y7" s="7">
        <v>0.05154639175257732</v>
      </c>
      <c r="Z7" s="7">
        <v>0.052083333333333336</v>
      </c>
      <c r="AA7" s="7">
        <v>0.05154639175257732</v>
      </c>
      <c r="AB7" s="7">
        <v>0.061855670103092786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M7" s="6" t="s">
        <v>137</v>
      </c>
      <c r="AN7" s="8">
        <v>650.0</v>
      </c>
    </row>
    <row r="8">
      <c r="A8" s="4" t="s">
        <v>111</v>
      </c>
      <c r="B8" s="7">
        <v>0.020833333333333332</v>
      </c>
      <c r="C8" s="7">
        <v>0.020833333333333332</v>
      </c>
      <c r="D8" s="7">
        <v>0.020833333333333332</v>
      </c>
      <c r="E8" s="7">
        <v>0.020833333333333332</v>
      </c>
      <c r="F8" s="7">
        <v>0.020833333333333332</v>
      </c>
      <c r="G8" s="7">
        <v>0.020833333333333332</v>
      </c>
      <c r="H8" s="7">
        <v>0.020833333333333332</v>
      </c>
      <c r="I8" s="7">
        <v>0.020833333333333332</v>
      </c>
      <c r="J8" s="7">
        <v>0.020833333333333332</v>
      </c>
      <c r="K8" s="7">
        <v>0.010416666666666666</v>
      </c>
      <c r="L8" s="7">
        <v>0.010416666666666666</v>
      </c>
      <c r="M8" s="7">
        <v>0.010416666666666666</v>
      </c>
      <c r="N8" s="7">
        <v>0.02040816326530612</v>
      </c>
      <c r="O8" s="7">
        <v>0.02040816326530612</v>
      </c>
      <c r="P8" s="7">
        <v>0.02040816326530612</v>
      </c>
      <c r="Q8" s="7">
        <v>0.01020408163265306</v>
      </c>
      <c r="R8" s="7">
        <v>0.01020408163265306</v>
      </c>
      <c r="S8" s="7">
        <v>0.01020408163265306</v>
      </c>
      <c r="T8" s="7">
        <v>0.010416666666666666</v>
      </c>
      <c r="U8" s="7">
        <v>0.010416666666666666</v>
      </c>
      <c r="V8" s="7">
        <v>0.010416666666666666</v>
      </c>
      <c r="W8" s="7">
        <v>0.010416666666666666</v>
      </c>
      <c r="X8" s="7">
        <v>0.010309278350515464</v>
      </c>
      <c r="Y8" s="7">
        <v>0.010309278350515464</v>
      </c>
      <c r="Z8" s="7">
        <v>0.010416666666666666</v>
      </c>
      <c r="AA8" s="7">
        <v>0.010309278350515464</v>
      </c>
      <c r="AB8" s="7">
        <v>0.010309278350515464</v>
      </c>
      <c r="AC8" s="7">
        <v>0.02040816326530612</v>
      </c>
      <c r="AD8" s="7">
        <v>0.02040816326530612</v>
      </c>
      <c r="AE8" s="7">
        <v>0.02040816326530612</v>
      </c>
      <c r="AF8" s="7">
        <v>0.020833333333333332</v>
      </c>
      <c r="AG8" s="7">
        <v>0.020833333333333332</v>
      </c>
      <c r="AH8" s="7">
        <v>0.020833333333333332</v>
      </c>
      <c r="AI8" s="7">
        <v>0.020833333333333332</v>
      </c>
      <c r="AJ8" s="7">
        <v>0.020833333333333332</v>
      </c>
      <c r="AK8" s="7">
        <v>0.020833333333333332</v>
      </c>
      <c r="AM8" s="6" t="s">
        <v>111</v>
      </c>
      <c r="AN8" s="8">
        <v>15000.0</v>
      </c>
    </row>
    <row r="9">
      <c r="A9" s="4" t="s">
        <v>112</v>
      </c>
      <c r="B9" s="7">
        <v>0.13541666666666666</v>
      </c>
      <c r="C9" s="7">
        <v>0.13541666666666666</v>
      </c>
      <c r="D9" s="7">
        <v>0.125</v>
      </c>
      <c r="E9" s="7">
        <v>0.13541666666666666</v>
      </c>
      <c r="F9" s="7">
        <v>0.13541666666666666</v>
      </c>
      <c r="G9" s="7">
        <v>0.125</v>
      </c>
      <c r="H9" s="7">
        <v>0.13541666666666666</v>
      </c>
      <c r="I9" s="7">
        <v>0.125</v>
      </c>
      <c r="J9" s="7">
        <v>0.125</v>
      </c>
      <c r="K9" s="7">
        <v>0.11458333333333333</v>
      </c>
      <c r="L9" s="7">
        <v>0.11458333333333333</v>
      </c>
      <c r="M9" s="7">
        <v>0.11458333333333333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0.1326530612244898</v>
      </c>
      <c r="AD9" s="7">
        <v>0.1326530612244898</v>
      </c>
      <c r="AE9" s="7">
        <v>0.14285714285714285</v>
      </c>
      <c r="AF9" s="7">
        <v>0.13541666666666666</v>
      </c>
      <c r="AG9" s="7">
        <v>0.13541666666666666</v>
      </c>
      <c r="AH9" s="7">
        <v>0.125</v>
      </c>
      <c r="AI9" s="7">
        <v>0.13541666666666666</v>
      </c>
      <c r="AJ9" s="7">
        <v>0.13541666666666666</v>
      </c>
      <c r="AK9" s="7">
        <v>0.125</v>
      </c>
      <c r="AM9" s="6" t="s">
        <v>112</v>
      </c>
      <c r="AN9" s="8">
        <v>300.0</v>
      </c>
    </row>
    <row r="10">
      <c r="A10" s="4" t="s">
        <v>113</v>
      </c>
      <c r="B10" s="7">
        <v>0.0</v>
      </c>
      <c r="C10" s="7">
        <v>0.0625</v>
      </c>
      <c r="D10" s="7">
        <v>0.0625</v>
      </c>
      <c r="E10" s="7">
        <v>0.0</v>
      </c>
      <c r="F10" s="7">
        <v>0.0625</v>
      </c>
      <c r="G10" s="7">
        <v>0.0625</v>
      </c>
      <c r="H10" s="7">
        <v>0.0</v>
      </c>
      <c r="I10" s="7">
        <v>0.0625</v>
      </c>
      <c r="J10" s="7">
        <v>0.0625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0.0625</v>
      </c>
      <c r="AH10" s="7">
        <v>0.0625</v>
      </c>
      <c r="AI10" s="7">
        <v>0.0</v>
      </c>
      <c r="AJ10" s="7">
        <v>0.0625</v>
      </c>
      <c r="AK10" s="7">
        <v>0.0625</v>
      </c>
      <c r="AM10" s="6" t="s">
        <v>113</v>
      </c>
      <c r="AN10" s="8">
        <v>2500.0</v>
      </c>
    </row>
    <row r="11">
      <c r="A11" s="4" t="s">
        <v>114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0.02040816326530612</v>
      </c>
      <c r="S11" s="7">
        <v>0.02040816326530612</v>
      </c>
      <c r="T11" s="7">
        <v>0.0</v>
      </c>
      <c r="U11" s="7">
        <v>0.020833333333333332</v>
      </c>
      <c r="V11" s="7">
        <v>0.020833333333333332</v>
      </c>
      <c r="W11" s="7">
        <v>0.0</v>
      </c>
      <c r="X11" s="7">
        <v>0.020618556701030927</v>
      </c>
      <c r="Y11" s="7">
        <v>0.020618556701030927</v>
      </c>
      <c r="Z11" s="7">
        <v>0.0</v>
      </c>
      <c r="AA11" s="7">
        <v>0.020618556701030927</v>
      </c>
      <c r="AB11" s="7">
        <v>0.020618556701030927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M11" s="6" t="s">
        <v>114</v>
      </c>
      <c r="AN11" s="8">
        <v>15000.0</v>
      </c>
    </row>
    <row r="12">
      <c r="A12" s="4" t="s">
        <v>115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0.01020408163265306</v>
      </c>
      <c r="S12" s="7">
        <v>0.01020408163265306</v>
      </c>
      <c r="T12" s="7">
        <v>0.0</v>
      </c>
      <c r="U12" s="7">
        <v>0.010416666666666666</v>
      </c>
      <c r="V12" s="7">
        <v>0.010416666666666666</v>
      </c>
      <c r="W12" s="7">
        <v>0.0</v>
      </c>
      <c r="X12" s="7">
        <v>0.010309278350515464</v>
      </c>
      <c r="Y12" s="7">
        <v>0.010309278350515464</v>
      </c>
      <c r="Z12" s="7">
        <v>0.0</v>
      </c>
      <c r="AA12" s="7">
        <v>0.010309278350515464</v>
      </c>
      <c r="AB12" s="7">
        <v>0.010309278350515464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M12" s="6" t="s">
        <v>115</v>
      </c>
      <c r="AN12" s="8">
        <v>8000.0</v>
      </c>
    </row>
    <row r="13">
      <c r="A13" s="4" t="s">
        <v>116</v>
      </c>
      <c r="B13" s="7">
        <v>0.21875</v>
      </c>
      <c r="C13" s="7">
        <v>0.20833333333333334</v>
      </c>
      <c r="D13" s="7">
        <v>0.1875</v>
      </c>
      <c r="E13" s="7">
        <v>0.20833333333333334</v>
      </c>
      <c r="F13" s="7">
        <v>0.19791666666666666</v>
      </c>
      <c r="G13" s="7">
        <v>0.1875</v>
      </c>
      <c r="H13" s="7">
        <v>0.20833333333333334</v>
      </c>
      <c r="I13" s="7">
        <v>0.1875</v>
      </c>
      <c r="J13" s="7">
        <v>0.19791666666666666</v>
      </c>
      <c r="K13" s="7">
        <v>0.16666666666666666</v>
      </c>
      <c r="L13" s="7">
        <v>0.16666666666666666</v>
      </c>
      <c r="M13" s="7">
        <v>0.17708333333333334</v>
      </c>
      <c r="N13" s="7">
        <v>0.20408163265306123</v>
      </c>
      <c r="O13" s="7">
        <v>0.20408163265306123</v>
      </c>
      <c r="P13" s="7">
        <v>0.20408163265306123</v>
      </c>
      <c r="Q13" s="7">
        <v>0.1836734693877551</v>
      </c>
      <c r="R13" s="7">
        <v>0.1836734693877551</v>
      </c>
      <c r="S13" s="7">
        <v>0.17346938775510204</v>
      </c>
      <c r="T13" s="7">
        <v>0.15625</v>
      </c>
      <c r="U13" s="7">
        <v>0.14583333333333334</v>
      </c>
      <c r="V13" s="7">
        <v>0.15625</v>
      </c>
      <c r="W13" s="7">
        <v>0.15625</v>
      </c>
      <c r="X13" s="7">
        <v>0.14432989690721648</v>
      </c>
      <c r="Y13" s="7">
        <v>0.16494845360824742</v>
      </c>
      <c r="Z13" s="7">
        <v>0.15625</v>
      </c>
      <c r="AA13" s="7">
        <v>0.15463917525773196</v>
      </c>
      <c r="AB13" s="7">
        <v>0.15463917525773196</v>
      </c>
      <c r="AC13" s="7">
        <v>0.20408163265306123</v>
      </c>
      <c r="AD13" s="7">
        <v>0.20408163265306123</v>
      </c>
      <c r="AE13" s="7">
        <v>0.21428571428571427</v>
      </c>
      <c r="AF13" s="7">
        <v>0.21875</v>
      </c>
      <c r="AG13" s="7">
        <v>0.20833333333333334</v>
      </c>
      <c r="AH13" s="7">
        <v>0.19791666666666666</v>
      </c>
      <c r="AI13" s="7">
        <v>0.21875</v>
      </c>
      <c r="AJ13" s="7">
        <v>0.20833333333333334</v>
      </c>
      <c r="AK13" s="7">
        <v>0.1875</v>
      </c>
      <c r="AM13" s="6" t="s">
        <v>116</v>
      </c>
      <c r="AN13" s="8">
        <v>150.0</v>
      </c>
    </row>
    <row r="14">
      <c r="A14" s="4" t="s">
        <v>117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0.020833333333333332</v>
      </c>
      <c r="X14" s="7">
        <v>0.020618556701030927</v>
      </c>
      <c r="Y14" s="7">
        <v>0.020618556701030927</v>
      </c>
      <c r="Z14" s="7">
        <v>0.020833333333333332</v>
      </c>
      <c r="AA14" s="7">
        <v>0.020618556701030927</v>
      </c>
      <c r="AB14" s="7">
        <v>0.020618556701030927</v>
      </c>
      <c r="AC14" s="7">
        <v>0.02040816326530612</v>
      </c>
      <c r="AD14" s="7">
        <v>0.02040816326530612</v>
      </c>
      <c r="AE14" s="7">
        <v>0.02040816326530612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M14" s="6" t="s">
        <v>117</v>
      </c>
      <c r="AN14" s="8">
        <v>2000.0</v>
      </c>
    </row>
    <row r="15">
      <c r="A15" s="4" t="s">
        <v>118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0.010416666666666666</v>
      </c>
      <c r="U15" s="7">
        <v>0.010416666666666666</v>
      </c>
      <c r="V15" s="7">
        <v>0.0</v>
      </c>
      <c r="W15" s="7">
        <v>0.010416666666666666</v>
      </c>
      <c r="X15" s="7">
        <v>0.010309278350515464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M15" s="6" t="s">
        <v>138</v>
      </c>
      <c r="AN15" s="8">
        <v>10000.0</v>
      </c>
    </row>
    <row r="16">
      <c r="A16" s="4" t="s">
        <v>119</v>
      </c>
      <c r="B16" s="7">
        <v>0.010416666666666666</v>
      </c>
      <c r="C16" s="7">
        <v>0.010416666666666666</v>
      </c>
      <c r="D16" s="7">
        <v>0.010416666666666666</v>
      </c>
      <c r="E16" s="7">
        <v>0.010416666666666666</v>
      </c>
      <c r="F16" s="7">
        <v>0.010416666666666666</v>
      </c>
      <c r="G16" s="7">
        <v>0.010416666666666666</v>
      </c>
      <c r="H16" s="7">
        <v>0.010416666666666666</v>
      </c>
      <c r="I16" s="7">
        <v>0.010416666666666666</v>
      </c>
      <c r="J16" s="7">
        <v>0.010416666666666666</v>
      </c>
      <c r="K16" s="7">
        <v>0.010416666666666666</v>
      </c>
      <c r="L16" s="7">
        <v>0.010416666666666666</v>
      </c>
      <c r="M16" s="7">
        <v>0.010416666666666666</v>
      </c>
      <c r="N16" s="7">
        <v>0.01020408163265306</v>
      </c>
      <c r="O16" s="7">
        <v>0.01020408163265306</v>
      </c>
      <c r="P16" s="7">
        <v>0.01020408163265306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0.010416666666666666</v>
      </c>
      <c r="AJ16" s="7">
        <v>0.010416666666666666</v>
      </c>
      <c r="AK16" s="7">
        <v>0.010416666666666666</v>
      </c>
      <c r="AM16" s="6" t="s">
        <v>139</v>
      </c>
      <c r="AN16" s="8">
        <v>9000.0</v>
      </c>
    </row>
    <row r="17">
      <c r="A17" s="4" t="s">
        <v>120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0.010416666666666666</v>
      </c>
      <c r="U17" s="7">
        <v>0.010416666666666666</v>
      </c>
      <c r="V17" s="7">
        <v>0.0</v>
      </c>
      <c r="W17" s="7">
        <v>0.010416666666666666</v>
      </c>
      <c r="X17" s="7">
        <v>0.010309278350515464</v>
      </c>
      <c r="Y17" s="7">
        <v>0.0</v>
      </c>
      <c r="Z17" s="7">
        <v>0.010416666666666666</v>
      </c>
      <c r="AA17" s="7">
        <v>0.010309278350515464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M17" s="6" t="s">
        <v>140</v>
      </c>
      <c r="AN17" s="8">
        <v>4000.0</v>
      </c>
    </row>
    <row r="18">
      <c r="A18" s="4" t="s">
        <v>121</v>
      </c>
      <c r="B18" s="7">
        <v>0.052083333333333336</v>
      </c>
      <c r="C18" s="7">
        <v>0.052083333333333336</v>
      </c>
      <c r="D18" s="7">
        <v>0.052083333333333336</v>
      </c>
      <c r="E18" s="7">
        <v>0.052083333333333336</v>
      </c>
      <c r="F18" s="7">
        <v>0.052083333333333336</v>
      </c>
      <c r="G18" s="7">
        <v>0.052083333333333336</v>
      </c>
      <c r="H18" s="7">
        <v>0.052083333333333336</v>
      </c>
      <c r="I18" s="7">
        <v>0.052083333333333336</v>
      </c>
      <c r="J18" s="7">
        <v>0.052083333333333336</v>
      </c>
      <c r="K18" s="7">
        <v>0.041666666666666664</v>
      </c>
      <c r="L18" s="7">
        <v>0.041666666666666664</v>
      </c>
      <c r="M18" s="7">
        <v>0.052083333333333336</v>
      </c>
      <c r="N18" s="7">
        <v>0.05102040816326531</v>
      </c>
      <c r="O18" s="7">
        <v>0.05102040816326531</v>
      </c>
      <c r="P18" s="7">
        <v>0.05102040816326531</v>
      </c>
      <c r="Q18" s="7">
        <v>0.05102040816326531</v>
      </c>
      <c r="R18" s="7">
        <v>0.04081632653061224</v>
      </c>
      <c r="S18" s="7">
        <v>0.05102040816326531</v>
      </c>
      <c r="T18" s="7">
        <v>0.041666666666666664</v>
      </c>
      <c r="U18" s="7">
        <v>0.041666666666666664</v>
      </c>
      <c r="V18" s="7">
        <v>0.041666666666666664</v>
      </c>
      <c r="W18" s="7">
        <v>0.041666666666666664</v>
      </c>
      <c r="X18" s="7">
        <v>0.041237113402061855</v>
      </c>
      <c r="Y18" s="7">
        <v>0.041237113402061855</v>
      </c>
      <c r="Z18" s="7">
        <v>0.0625</v>
      </c>
      <c r="AA18" s="7">
        <v>0.05154639175257732</v>
      </c>
      <c r="AB18" s="7">
        <v>0.061855670103092786</v>
      </c>
      <c r="AC18" s="7">
        <v>0.05102040816326531</v>
      </c>
      <c r="AD18" s="7">
        <v>0.05102040816326531</v>
      </c>
      <c r="AE18" s="7">
        <v>0.061224489795918366</v>
      </c>
      <c r="AF18" s="7">
        <v>0.052083333333333336</v>
      </c>
      <c r="AG18" s="7">
        <v>0.052083333333333336</v>
      </c>
      <c r="AH18" s="7">
        <v>0.052083333333333336</v>
      </c>
      <c r="AI18" s="7">
        <v>0.052083333333333336</v>
      </c>
      <c r="AJ18" s="7">
        <v>0.052083333333333336</v>
      </c>
      <c r="AK18" s="7">
        <v>0.052083333333333336</v>
      </c>
      <c r="AM18" s="6" t="s">
        <v>121</v>
      </c>
      <c r="AN18" s="8">
        <v>800.0</v>
      </c>
    </row>
    <row r="19">
      <c r="A19" s="4" t="s">
        <v>122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0.08333333333333333</v>
      </c>
      <c r="U19" s="7">
        <v>0.08333333333333333</v>
      </c>
      <c r="V19" s="7">
        <v>0.08333333333333333</v>
      </c>
      <c r="W19" s="7">
        <v>0.08333333333333333</v>
      </c>
      <c r="X19" s="7">
        <v>0.07216494845360824</v>
      </c>
      <c r="Y19" s="7">
        <v>0.08247422680412371</v>
      </c>
      <c r="Z19" s="7">
        <v>0.08333333333333333</v>
      </c>
      <c r="AA19" s="7">
        <v>0.08247422680412371</v>
      </c>
      <c r="AB19" s="7">
        <v>0.08247422680412371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M19" s="6" t="s">
        <v>141</v>
      </c>
      <c r="AN19" s="8">
        <v>250.0</v>
      </c>
    </row>
    <row r="20">
      <c r="A20" s="4" t="s">
        <v>123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0.020833333333333332</v>
      </c>
      <c r="X20" s="7">
        <v>0.020618556701030927</v>
      </c>
      <c r="Y20" s="7">
        <v>0.0</v>
      </c>
      <c r="Z20" s="7">
        <v>0.020833333333333332</v>
      </c>
      <c r="AA20" s="7">
        <v>0.020618556701030927</v>
      </c>
      <c r="AB20" s="7">
        <v>0.0</v>
      </c>
      <c r="AC20" s="7">
        <v>0.02040816326530612</v>
      </c>
      <c r="AD20" s="7">
        <v>0.02040816326530612</v>
      </c>
      <c r="AE20" s="7">
        <v>0.0</v>
      </c>
      <c r="AF20" s="7">
        <v>0.020833333333333332</v>
      </c>
      <c r="AG20" s="7">
        <v>0.020833333333333332</v>
      </c>
      <c r="AH20" s="7">
        <v>0.0</v>
      </c>
      <c r="AI20" s="7">
        <v>0.0</v>
      </c>
      <c r="AJ20" s="7">
        <v>0.0</v>
      </c>
      <c r="AK20" s="7">
        <v>0.0</v>
      </c>
      <c r="AM20" s="6" t="s">
        <v>142</v>
      </c>
      <c r="AN20" s="8">
        <v>3000.0</v>
      </c>
    </row>
    <row r="21">
      <c r="A21" s="4" t="s">
        <v>124</v>
      </c>
      <c r="B21" s="7">
        <v>0.07291666666666667</v>
      </c>
      <c r="C21" s="7">
        <v>0.0625</v>
      </c>
      <c r="D21" s="7">
        <v>0.0625</v>
      </c>
      <c r="E21" s="7">
        <v>0.07291666666666667</v>
      </c>
      <c r="F21" s="7">
        <v>0.0625</v>
      </c>
      <c r="G21" s="7">
        <v>0.0625</v>
      </c>
      <c r="H21" s="7">
        <v>0.07291666666666667</v>
      </c>
      <c r="I21" s="7">
        <v>0.0625</v>
      </c>
      <c r="J21" s="7">
        <v>0.0625</v>
      </c>
      <c r="K21" s="7">
        <v>0.0625</v>
      </c>
      <c r="L21" s="7">
        <v>0.0625</v>
      </c>
      <c r="M21" s="7">
        <v>0.0625</v>
      </c>
      <c r="N21" s="7">
        <v>0.061224489795918366</v>
      </c>
      <c r="O21" s="7">
        <v>0.061224489795918366</v>
      </c>
      <c r="P21" s="7">
        <v>0.07142857142857142</v>
      </c>
      <c r="Q21" s="7">
        <v>0.07142857142857142</v>
      </c>
      <c r="R21" s="7">
        <v>0.061224489795918366</v>
      </c>
      <c r="S21" s="7">
        <v>0.061224489795918366</v>
      </c>
      <c r="T21" s="7">
        <v>0.0625</v>
      </c>
      <c r="U21" s="7">
        <v>0.052083333333333336</v>
      </c>
      <c r="V21" s="7">
        <v>0.0625</v>
      </c>
      <c r="W21" s="7">
        <v>0.052083333333333336</v>
      </c>
      <c r="X21" s="7">
        <v>0.05154639175257732</v>
      </c>
      <c r="Y21" s="7">
        <v>0.05154639175257732</v>
      </c>
      <c r="Z21" s="7">
        <v>0.07291666666666667</v>
      </c>
      <c r="AA21" s="7">
        <v>0.07216494845360824</v>
      </c>
      <c r="AB21" s="7">
        <v>0.07216494845360824</v>
      </c>
      <c r="AC21" s="7">
        <v>0.07142857142857142</v>
      </c>
      <c r="AD21" s="7">
        <v>0.07142857142857142</v>
      </c>
      <c r="AE21" s="7">
        <v>0.07142857142857142</v>
      </c>
      <c r="AF21" s="7">
        <v>0.07291666666666667</v>
      </c>
      <c r="AG21" s="7">
        <v>0.0625</v>
      </c>
      <c r="AH21" s="7">
        <v>0.07291666666666667</v>
      </c>
      <c r="AI21" s="7">
        <v>0.07291666666666667</v>
      </c>
      <c r="AJ21" s="7">
        <v>0.0625</v>
      </c>
      <c r="AK21" s="7">
        <v>0.0625</v>
      </c>
      <c r="AM21" s="6" t="s">
        <v>124</v>
      </c>
      <c r="AN21" s="8">
        <v>3000.0</v>
      </c>
    </row>
    <row r="22">
      <c r="A22" s="19" t="s">
        <v>125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0.02040816326530612</v>
      </c>
      <c r="R22" s="7">
        <v>0.02040816326530612</v>
      </c>
      <c r="S22" s="7">
        <v>0.02040816326530612</v>
      </c>
      <c r="T22" s="7">
        <v>0.020833333333333332</v>
      </c>
      <c r="U22" s="7">
        <v>0.020833333333333332</v>
      </c>
      <c r="V22" s="7">
        <v>0.020833333333333332</v>
      </c>
      <c r="W22" s="7">
        <v>0.020833333333333332</v>
      </c>
      <c r="X22" s="7">
        <v>0.020618556701030927</v>
      </c>
      <c r="Y22" s="7">
        <v>0.020618556701030927</v>
      </c>
      <c r="Z22" s="7">
        <v>0.020833333333333332</v>
      </c>
      <c r="AA22" s="7">
        <v>0.020618556701030927</v>
      </c>
      <c r="AB22" s="7">
        <v>0.020618556701030927</v>
      </c>
      <c r="AC22" s="7">
        <v>0.02040816326530612</v>
      </c>
      <c r="AD22" s="7">
        <v>0.02040816326530612</v>
      </c>
      <c r="AE22" s="7">
        <v>0.02040816326530612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M22" s="6" t="s">
        <v>125</v>
      </c>
      <c r="AN22" s="8">
        <v>600.0</v>
      </c>
    </row>
    <row r="23">
      <c r="A23" s="4" t="s">
        <v>126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0.01020408163265306</v>
      </c>
      <c r="S23" s="7">
        <v>0.01020408163265306</v>
      </c>
      <c r="T23" s="7">
        <v>0.0</v>
      </c>
      <c r="U23" s="7">
        <v>0.010416666666666666</v>
      </c>
      <c r="V23" s="7">
        <v>0.010416666666666666</v>
      </c>
      <c r="W23" s="7">
        <v>0.0</v>
      </c>
      <c r="X23" s="7">
        <v>0.010309278350515464</v>
      </c>
      <c r="Y23" s="7">
        <v>0.010309278350515464</v>
      </c>
      <c r="Z23" s="7">
        <v>0.0</v>
      </c>
      <c r="AA23" s="7">
        <v>0.010309278350515464</v>
      </c>
      <c r="AB23" s="7">
        <v>0.010309278350515464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M23" s="6" t="s">
        <v>143</v>
      </c>
      <c r="AN23" s="8">
        <v>12000.0</v>
      </c>
    </row>
    <row r="24">
      <c r="A24" s="4" t="s">
        <v>127</v>
      </c>
      <c r="B24" s="7">
        <v>0.17708333333333334</v>
      </c>
      <c r="C24" s="7">
        <v>0.16666666666666666</v>
      </c>
      <c r="D24" s="7">
        <v>0.16666666666666666</v>
      </c>
      <c r="E24" s="7">
        <v>0.1875</v>
      </c>
      <c r="F24" s="7">
        <v>0.17708333333333334</v>
      </c>
      <c r="G24" s="7">
        <v>0.16666666666666666</v>
      </c>
      <c r="H24" s="7">
        <v>0.17708333333333334</v>
      </c>
      <c r="I24" s="7">
        <v>0.15625</v>
      </c>
      <c r="J24" s="7">
        <v>0.16666666666666666</v>
      </c>
      <c r="K24" s="7">
        <v>0.14583333333333334</v>
      </c>
      <c r="L24" s="7">
        <v>0.14583333333333334</v>
      </c>
      <c r="M24" s="7">
        <v>0.14583333333333334</v>
      </c>
      <c r="N24" s="7">
        <v>0.16326530612244897</v>
      </c>
      <c r="O24" s="7">
        <v>0.16326530612244897</v>
      </c>
      <c r="P24" s="7">
        <v>0.17346938775510204</v>
      </c>
      <c r="Q24" s="7">
        <v>0.16326530612244897</v>
      </c>
      <c r="R24" s="7">
        <v>0.16326530612244897</v>
      </c>
      <c r="S24" s="7">
        <v>0.16326530612244897</v>
      </c>
      <c r="T24" s="7">
        <v>0.13541666666666666</v>
      </c>
      <c r="U24" s="7">
        <v>0.125</v>
      </c>
      <c r="V24" s="7">
        <v>0.13541666666666666</v>
      </c>
      <c r="W24" s="7">
        <v>0.11458333333333333</v>
      </c>
      <c r="X24" s="7">
        <v>0.1134020618556701</v>
      </c>
      <c r="Y24" s="7">
        <v>0.12371134020618557</v>
      </c>
      <c r="Z24" s="7">
        <v>0.13541666666666666</v>
      </c>
      <c r="AA24" s="7">
        <v>0.12371134020618557</v>
      </c>
      <c r="AB24" s="7">
        <v>0.14432989690721648</v>
      </c>
      <c r="AC24" s="7">
        <v>0.17346938775510204</v>
      </c>
      <c r="AD24" s="7">
        <v>0.17346938775510204</v>
      </c>
      <c r="AE24" s="7">
        <v>0.1836734693877551</v>
      </c>
      <c r="AF24" s="7">
        <v>0.17708333333333334</v>
      </c>
      <c r="AG24" s="7">
        <v>0.16666666666666666</v>
      </c>
      <c r="AH24" s="7">
        <v>0.16666666666666666</v>
      </c>
      <c r="AI24" s="7">
        <v>0.17708333333333334</v>
      </c>
      <c r="AJ24" s="7">
        <v>0.16666666666666666</v>
      </c>
      <c r="AK24" s="7">
        <v>0.16666666666666666</v>
      </c>
      <c r="AM24" s="6" t="s">
        <v>144</v>
      </c>
      <c r="AN24" s="8">
        <v>400.0</v>
      </c>
    </row>
    <row r="25">
      <c r="A25" s="4" t="s">
        <v>128</v>
      </c>
      <c r="B25" s="7">
        <v>0.11458333333333333</v>
      </c>
      <c r="C25" s="7">
        <v>0.10416666666666667</v>
      </c>
      <c r="D25" s="7">
        <v>0.10416666666666667</v>
      </c>
      <c r="E25" s="7">
        <v>0.11458333333333333</v>
      </c>
      <c r="F25" s="7">
        <v>0.10416666666666667</v>
      </c>
      <c r="G25" s="7">
        <v>0.10416666666666667</v>
      </c>
      <c r="H25" s="7">
        <v>0.10416666666666667</v>
      </c>
      <c r="I25" s="7">
        <v>0.10416666666666667</v>
      </c>
      <c r="J25" s="7">
        <v>0.10416666666666667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0.11458333333333333</v>
      </c>
      <c r="AJ25" s="7">
        <v>0.10416666666666667</v>
      </c>
      <c r="AK25" s="7">
        <v>0.10416666666666667</v>
      </c>
      <c r="AM25" s="6" t="s">
        <v>128</v>
      </c>
      <c r="AN25" s="8">
        <v>1000.0</v>
      </c>
    </row>
    <row r="26">
      <c r="A26" s="4" t="s">
        <v>129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0.0625</v>
      </c>
      <c r="L26" s="7">
        <v>0.0625</v>
      </c>
      <c r="M26" s="7">
        <v>0.0625</v>
      </c>
      <c r="N26" s="7">
        <v>0.061224489795918366</v>
      </c>
      <c r="O26" s="7">
        <v>0.061224489795918366</v>
      </c>
      <c r="P26" s="7">
        <v>0.061224489795918366</v>
      </c>
      <c r="Q26" s="7">
        <v>0.061224489795918366</v>
      </c>
      <c r="R26" s="7">
        <v>0.061224489795918366</v>
      </c>
      <c r="S26" s="7">
        <v>0.061224489795918366</v>
      </c>
      <c r="T26" s="7">
        <v>0.052083333333333336</v>
      </c>
      <c r="U26" s="7">
        <v>0.052083333333333336</v>
      </c>
      <c r="V26" s="7">
        <v>0.052083333333333336</v>
      </c>
      <c r="W26" s="7">
        <v>0.052083333333333336</v>
      </c>
      <c r="X26" s="7">
        <v>0.05154639175257732</v>
      </c>
      <c r="Y26" s="7">
        <v>0.05154639175257732</v>
      </c>
      <c r="Z26" s="7">
        <v>0.0625</v>
      </c>
      <c r="AA26" s="7">
        <v>0.061855670103092786</v>
      </c>
      <c r="AB26" s="7">
        <v>0.061855670103092786</v>
      </c>
      <c r="AC26" s="7">
        <v>0.07142857142857142</v>
      </c>
      <c r="AD26" s="7">
        <v>0.07142857142857142</v>
      </c>
      <c r="AE26" s="7">
        <v>0.07142857142857142</v>
      </c>
      <c r="AF26" s="7">
        <v>0.07291666666666667</v>
      </c>
      <c r="AG26" s="7">
        <v>0.0625</v>
      </c>
      <c r="AH26" s="7">
        <v>0.0625</v>
      </c>
      <c r="AI26" s="7">
        <v>0.0</v>
      </c>
      <c r="AJ26" s="7">
        <v>0.0</v>
      </c>
      <c r="AK26" s="7">
        <v>0.0</v>
      </c>
      <c r="AM26" s="6" t="s">
        <v>145</v>
      </c>
      <c r="AN26" s="8">
        <v>1100.0</v>
      </c>
    </row>
    <row r="27">
      <c r="A27" s="4" t="s">
        <v>130</v>
      </c>
      <c r="B27" s="7">
        <v>0.10416666666666667</v>
      </c>
      <c r="C27" s="7">
        <v>0.09375</v>
      </c>
      <c r="D27" s="7">
        <v>0.09375</v>
      </c>
      <c r="E27" s="7">
        <v>0.10416666666666667</v>
      </c>
      <c r="F27" s="7">
        <v>0.09375</v>
      </c>
      <c r="G27" s="7">
        <v>0.09375</v>
      </c>
      <c r="H27" s="7">
        <v>0.09375</v>
      </c>
      <c r="I27" s="7">
        <v>0.09375</v>
      </c>
      <c r="J27" s="7">
        <v>0.09375</v>
      </c>
      <c r="K27" s="7">
        <v>0.08333333333333333</v>
      </c>
      <c r="L27" s="7">
        <v>0.08333333333333333</v>
      </c>
      <c r="M27" s="7">
        <v>0.08333333333333333</v>
      </c>
      <c r="N27" s="7">
        <v>0.09183673469387756</v>
      </c>
      <c r="O27" s="7">
        <v>0.09183673469387756</v>
      </c>
      <c r="P27" s="7">
        <v>0.09183673469387756</v>
      </c>
      <c r="Q27" s="7">
        <v>0.09183673469387756</v>
      </c>
      <c r="R27" s="7">
        <v>0.08163265306122448</v>
      </c>
      <c r="S27" s="7">
        <v>0.09183673469387756</v>
      </c>
      <c r="T27" s="7">
        <v>0.08333333333333333</v>
      </c>
      <c r="U27" s="7">
        <v>0.08333333333333333</v>
      </c>
      <c r="V27" s="7">
        <v>0.08333333333333333</v>
      </c>
      <c r="W27" s="7">
        <v>0.08333333333333333</v>
      </c>
      <c r="X27" s="7">
        <v>0.07216494845360824</v>
      </c>
      <c r="Y27" s="7">
        <v>0.08247422680412371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0.10416666666666667</v>
      </c>
      <c r="AJ27" s="7">
        <v>0.09375</v>
      </c>
      <c r="AK27" s="7">
        <v>0.09375</v>
      </c>
      <c r="AM27" s="6" t="s">
        <v>146</v>
      </c>
      <c r="AN27" s="8">
        <v>500.0</v>
      </c>
    </row>
    <row r="28">
      <c r="A28" s="4" t="s">
        <v>131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0.02040816326530612</v>
      </c>
      <c r="R28" s="7">
        <v>0.02040816326530612</v>
      </c>
      <c r="S28" s="7">
        <v>0.02040816326530612</v>
      </c>
      <c r="T28" s="7">
        <v>0.020833333333333332</v>
      </c>
      <c r="U28" s="7">
        <v>0.020833333333333332</v>
      </c>
      <c r="V28" s="7">
        <v>0.020833333333333332</v>
      </c>
      <c r="W28" s="7">
        <v>0.020833333333333332</v>
      </c>
      <c r="X28" s="7">
        <v>0.020618556701030927</v>
      </c>
      <c r="Y28" s="7">
        <v>0.020618556701030927</v>
      </c>
      <c r="Z28" s="7">
        <v>0.020833333333333332</v>
      </c>
      <c r="AA28" s="7">
        <v>0.020618556701030927</v>
      </c>
      <c r="AB28" s="7">
        <v>0.020618556701030927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M28" s="6" t="s">
        <v>131</v>
      </c>
      <c r="AN28" s="8">
        <v>1500.0</v>
      </c>
    </row>
    <row r="29">
      <c r="A29" s="4" t="s">
        <v>132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0.020833333333333332</v>
      </c>
      <c r="L29" s="7">
        <v>0.020833333333333332</v>
      </c>
      <c r="M29" s="7">
        <v>0.020833333333333332</v>
      </c>
      <c r="N29" s="7">
        <v>0.02040816326530612</v>
      </c>
      <c r="O29" s="7">
        <v>0.02040816326530612</v>
      </c>
      <c r="P29" s="7">
        <v>0.02040816326530612</v>
      </c>
      <c r="Q29" s="7">
        <v>0.02040816326530612</v>
      </c>
      <c r="R29" s="7">
        <v>0.02040816326530612</v>
      </c>
      <c r="S29" s="7">
        <v>0.02040816326530612</v>
      </c>
      <c r="T29" s="7">
        <v>0.020833333333333332</v>
      </c>
      <c r="U29" s="7">
        <v>0.020833333333333332</v>
      </c>
      <c r="V29" s="7">
        <v>0.020833333333333332</v>
      </c>
      <c r="W29" s="7">
        <v>0.020833333333333332</v>
      </c>
      <c r="X29" s="7">
        <v>0.020618556701030927</v>
      </c>
      <c r="Y29" s="7">
        <v>0.020618556701030927</v>
      </c>
      <c r="Z29" s="7">
        <v>0.020833333333333332</v>
      </c>
      <c r="AA29" s="7">
        <v>0.020618556701030927</v>
      </c>
      <c r="AB29" s="7">
        <v>0.020618556701030927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M29" s="6" t="s">
        <v>147</v>
      </c>
      <c r="AN29" s="8">
        <v>1000.0</v>
      </c>
    </row>
    <row r="30">
      <c r="A30" s="4" t="s">
        <v>133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0.01020408163265306</v>
      </c>
      <c r="R30" s="7">
        <v>0.01020408163265306</v>
      </c>
      <c r="S30" s="7">
        <v>0.01020408163265306</v>
      </c>
      <c r="T30" s="7">
        <v>0.010416666666666666</v>
      </c>
      <c r="U30" s="7">
        <v>0.010416666666666666</v>
      </c>
      <c r="V30" s="7">
        <v>0.010416666666666666</v>
      </c>
      <c r="W30" s="7">
        <v>0.010416666666666666</v>
      </c>
      <c r="X30" s="7">
        <v>0.010309278350515464</v>
      </c>
      <c r="Y30" s="7">
        <v>0.010309278350515464</v>
      </c>
      <c r="Z30" s="7">
        <v>0.010416666666666666</v>
      </c>
      <c r="AA30" s="7">
        <v>0.010309278350515464</v>
      </c>
      <c r="AB30" s="7">
        <v>0.010309278350515464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M30" s="6" t="s">
        <v>133</v>
      </c>
      <c r="AN30" s="8">
        <v>13000.0</v>
      </c>
    </row>
    <row r="31">
      <c r="A31" s="4" t="s">
        <v>134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0.07291666666666667</v>
      </c>
      <c r="L31" s="7">
        <v>0.07291666666666667</v>
      </c>
      <c r="M31" s="7">
        <v>0.07291666666666667</v>
      </c>
      <c r="N31" s="7">
        <v>0.08163265306122448</v>
      </c>
      <c r="O31" s="7">
        <v>0.08163265306122448</v>
      </c>
      <c r="P31" s="7">
        <v>0.08163265306122448</v>
      </c>
      <c r="Q31" s="7">
        <v>0.07142857142857142</v>
      </c>
      <c r="R31" s="7">
        <v>0.07142857142857142</v>
      </c>
      <c r="S31" s="7">
        <v>0.07142857142857142</v>
      </c>
      <c r="T31" s="7">
        <v>0.07291666666666667</v>
      </c>
      <c r="U31" s="7">
        <v>0.0625</v>
      </c>
      <c r="V31" s="7">
        <v>0.07291666666666667</v>
      </c>
      <c r="W31" s="7">
        <v>0.0625</v>
      </c>
      <c r="X31" s="7">
        <v>0.061855670103092786</v>
      </c>
      <c r="Y31" s="7">
        <v>0.07216494845360824</v>
      </c>
      <c r="Z31" s="7">
        <v>0.08333333333333333</v>
      </c>
      <c r="AA31" s="7">
        <v>0.07216494845360824</v>
      </c>
      <c r="AB31" s="7">
        <v>0.08247422680412371</v>
      </c>
      <c r="AC31" s="7">
        <v>0.08163265306122448</v>
      </c>
      <c r="AD31" s="7">
        <v>0.08163265306122448</v>
      </c>
      <c r="AE31" s="7">
        <v>0.08163265306122448</v>
      </c>
      <c r="AF31" s="7">
        <v>0.08333333333333333</v>
      </c>
      <c r="AG31" s="7">
        <v>0.08333333333333333</v>
      </c>
      <c r="AH31" s="7">
        <v>0.08333333333333333</v>
      </c>
      <c r="AI31" s="7">
        <v>0.0</v>
      </c>
      <c r="AJ31" s="7">
        <v>0.0</v>
      </c>
      <c r="AK31" s="7">
        <v>0.0</v>
      </c>
      <c r="AM31" s="6" t="s">
        <v>134</v>
      </c>
      <c r="AN31" s="8">
        <v>500.0</v>
      </c>
    </row>
    <row r="32">
      <c r="A32" s="4" t="s">
        <v>63</v>
      </c>
      <c r="B32" s="7">
        <v>0.010416666666666666</v>
      </c>
      <c r="C32" s="7">
        <v>0.010416666666666666</v>
      </c>
      <c r="D32" s="7">
        <v>0.010416666666666666</v>
      </c>
      <c r="E32" s="7">
        <v>0.010416666666666666</v>
      </c>
      <c r="F32" s="7">
        <v>0.010416666666666666</v>
      </c>
      <c r="G32" s="7">
        <v>0.010416666666666666</v>
      </c>
      <c r="H32" s="7">
        <v>0.010416666666666666</v>
      </c>
      <c r="I32" s="7">
        <v>0.010416666666666666</v>
      </c>
      <c r="J32" s="7">
        <v>0.010416666666666666</v>
      </c>
      <c r="K32" s="7">
        <v>0.010416666666666666</v>
      </c>
      <c r="L32" s="7">
        <v>0.010416666666666666</v>
      </c>
      <c r="M32" s="7">
        <v>0.010416666666666666</v>
      </c>
      <c r="N32" s="7">
        <v>0.01020408163265306</v>
      </c>
      <c r="O32" s="7">
        <v>0.01020408163265306</v>
      </c>
      <c r="P32" s="7">
        <v>0.01020408163265306</v>
      </c>
      <c r="Q32" s="7">
        <v>0.01020408163265306</v>
      </c>
      <c r="R32" s="7">
        <v>0.01020408163265306</v>
      </c>
      <c r="S32" s="7">
        <v>0.01020408163265306</v>
      </c>
      <c r="T32" s="7">
        <v>0.010416666666666666</v>
      </c>
      <c r="U32" s="7">
        <v>0.010416666666666666</v>
      </c>
      <c r="V32" s="7">
        <v>0.010416666666666666</v>
      </c>
      <c r="W32" s="7">
        <v>0.010416666666666666</v>
      </c>
      <c r="X32" s="7">
        <v>0.010309278350515464</v>
      </c>
      <c r="Y32" s="7">
        <v>0.010309278350515464</v>
      </c>
      <c r="Z32" s="7">
        <v>0.010416666666666666</v>
      </c>
      <c r="AA32" s="7">
        <v>0.010309278350515464</v>
      </c>
      <c r="AB32" s="7">
        <v>0.010309278350515464</v>
      </c>
      <c r="AC32" s="7">
        <v>0.01020408163265306</v>
      </c>
      <c r="AD32" s="7">
        <v>0.01020408163265306</v>
      </c>
      <c r="AE32" s="7">
        <v>0.01020408163265306</v>
      </c>
      <c r="AF32" s="7">
        <v>0.010416666666666666</v>
      </c>
      <c r="AG32" s="7">
        <v>0.010416666666666666</v>
      </c>
      <c r="AH32" s="7">
        <v>0.010416666666666666</v>
      </c>
      <c r="AI32" s="7">
        <v>0.010416666666666666</v>
      </c>
      <c r="AJ32" s="7">
        <v>0.010416666666666666</v>
      </c>
      <c r="AK32" s="7">
        <v>0.010416666666666666</v>
      </c>
      <c r="AM32" s="4" t="s">
        <v>63</v>
      </c>
      <c r="AN32" s="9">
        <v>10.0</v>
      </c>
    </row>
    <row r="33">
      <c r="A33" s="4" t="s">
        <v>64</v>
      </c>
      <c r="B33" s="7">
        <v>0.010416666666666666</v>
      </c>
      <c r="C33" s="7">
        <v>0.010416666666666666</v>
      </c>
      <c r="D33" s="7">
        <v>0.010416666666666666</v>
      </c>
      <c r="E33" s="7">
        <v>0.010416666666666666</v>
      </c>
      <c r="F33" s="7">
        <v>0.010416666666666666</v>
      </c>
      <c r="G33" s="7">
        <v>0.010416666666666666</v>
      </c>
      <c r="H33" s="7">
        <v>0.010416666666666666</v>
      </c>
      <c r="I33" s="7">
        <v>0.010416666666666666</v>
      </c>
      <c r="J33" s="7">
        <v>0.010416666666666666</v>
      </c>
      <c r="K33" s="7">
        <v>0.010416666666666666</v>
      </c>
      <c r="L33" s="7">
        <v>0.010416666666666666</v>
      </c>
      <c r="M33" s="7">
        <v>0.010416666666666666</v>
      </c>
      <c r="N33" s="7">
        <v>0.01020408163265306</v>
      </c>
      <c r="O33" s="7">
        <v>0.01020408163265306</v>
      </c>
      <c r="P33" s="7">
        <v>0.01020408163265306</v>
      </c>
      <c r="Q33" s="7">
        <v>0.01020408163265306</v>
      </c>
      <c r="R33" s="7">
        <v>0.01020408163265306</v>
      </c>
      <c r="S33" s="7">
        <v>0.01020408163265306</v>
      </c>
      <c r="T33" s="7">
        <v>0.010416666666666666</v>
      </c>
      <c r="U33" s="7">
        <v>0.010416666666666666</v>
      </c>
      <c r="V33" s="7">
        <v>0.010416666666666666</v>
      </c>
      <c r="W33" s="7">
        <v>0.010416666666666666</v>
      </c>
      <c r="X33" s="7">
        <v>0.010309278350515464</v>
      </c>
      <c r="Y33" s="7">
        <v>0.010309278350515464</v>
      </c>
      <c r="Z33" s="7">
        <v>0.010416666666666666</v>
      </c>
      <c r="AA33" s="7">
        <v>0.010309278350515464</v>
      </c>
      <c r="AB33" s="7">
        <v>0.010309278350515464</v>
      </c>
      <c r="AC33" s="7">
        <v>0.01020408163265306</v>
      </c>
      <c r="AD33" s="7">
        <v>0.01020408163265306</v>
      </c>
      <c r="AE33" s="7">
        <v>0.01020408163265306</v>
      </c>
      <c r="AF33" s="7">
        <v>0.010416666666666666</v>
      </c>
      <c r="AG33" s="7">
        <v>0.010416666666666666</v>
      </c>
      <c r="AH33" s="7">
        <v>0.010416666666666666</v>
      </c>
      <c r="AI33" s="7">
        <v>0.010416666666666666</v>
      </c>
      <c r="AJ33" s="7">
        <v>0.010416666666666666</v>
      </c>
      <c r="AK33" s="7">
        <v>0.010416666666666666</v>
      </c>
      <c r="AM33" s="4" t="s">
        <v>64</v>
      </c>
      <c r="AN33" s="9">
        <v>10.0</v>
      </c>
    </row>
    <row r="34">
      <c r="A34" s="4" t="s">
        <v>65</v>
      </c>
      <c r="B34" s="7">
        <v>0.010416666666666666</v>
      </c>
      <c r="C34" s="7">
        <v>0.010416666666666666</v>
      </c>
      <c r="D34" s="7">
        <v>0.010416666666666666</v>
      </c>
      <c r="E34" s="7">
        <v>0.010416666666666666</v>
      </c>
      <c r="F34" s="7">
        <v>0.010416666666666666</v>
      </c>
      <c r="G34" s="7">
        <v>0.010416666666666666</v>
      </c>
      <c r="H34" s="7">
        <v>0.010416666666666666</v>
      </c>
      <c r="I34" s="7">
        <v>0.010416666666666666</v>
      </c>
      <c r="J34" s="7">
        <v>0.010416666666666666</v>
      </c>
      <c r="K34" s="7">
        <v>0.010416666666666666</v>
      </c>
      <c r="L34" s="7">
        <v>0.010416666666666666</v>
      </c>
      <c r="M34" s="7">
        <v>0.010416666666666666</v>
      </c>
      <c r="N34" s="7">
        <v>0.01020408163265306</v>
      </c>
      <c r="O34" s="7">
        <v>0.01020408163265306</v>
      </c>
      <c r="P34" s="7">
        <v>0.01020408163265306</v>
      </c>
      <c r="Q34" s="7">
        <v>0.01020408163265306</v>
      </c>
      <c r="R34" s="7">
        <v>0.01020408163265306</v>
      </c>
      <c r="S34" s="7">
        <v>0.01020408163265306</v>
      </c>
      <c r="T34" s="7">
        <v>0.010416666666666666</v>
      </c>
      <c r="U34" s="7">
        <v>0.010416666666666666</v>
      </c>
      <c r="V34" s="7">
        <v>0.010416666666666666</v>
      </c>
      <c r="W34" s="7">
        <v>0.010416666666666666</v>
      </c>
      <c r="X34" s="7">
        <v>0.010309278350515464</v>
      </c>
      <c r="Y34" s="7">
        <v>0.010309278350515464</v>
      </c>
      <c r="Z34" s="7">
        <v>0.010416666666666666</v>
      </c>
      <c r="AA34" s="7">
        <v>0.010309278350515464</v>
      </c>
      <c r="AB34" s="7">
        <v>0.010309278350515464</v>
      </c>
      <c r="AC34" s="7">
        <v>0.01020408163265306</v>
      </c>
      <c r="AD34" s="7">
        <v>0.01020408163265306</v>
      </c>
      <c r="AE34" s="7">
        <v>0.01020408163265306</v>
      </c>
      <c r="AF34" s="7">
        <v>0.010416666666666666</v>
      </c>
      <c r="AG34" s="7">
        <v>0.010416666666666666</v>
      </c>
      <c r="AH34" s="7">
        <v>0.010416666666666666</v>
      </c>
      <c r="AI34" s="7">
        <v>0.010416666666666666</v>
      </c>
      <c r="AJ34" s="7">
        <v>0.010416666666666666</v>
      </c>
      <c r="AK34" s="7">
        <v>0.010416666666666666</v>
      </c>
      <c r="AM34" s="4" t="s">
        <v>65</v>
      </c>
      <c r="AN34" s="9">
        <v>10.0</v>
      </c>
    </row>
    <row r="35">
      <c r="A35" s="4" t="s">
        <v>66</v>
      </c>
      <c r="B35" s="7">
        <v>0.020833333333333332</v>
      </c>
      <c r="C35" s="7">
        <v>0.020833333333333332</v>
      </c>
      <c r="D35" s="7">
        <v>0.020833333333333332</v>
      </c>
      <c r="E35" s="7">
        <v>0.020833333333333332</v>
      </c>
      <c r="F35" s="7">
        <v>0.020833333333333332</v>
      </c>
      <c r="G35" s="7">
        <v>0.020833333333333332</v>
      </c>
      <c r="H35" s="7">
        <v>0.020833333333333332</v>
      </c>
      <c r="I35" s="7">
        <v>0.020833333333333332</v>
      </c>
      <c r="J35" s="7">
        <v>0.020833333333333332</v>
      </c>
      <c r="K35" s="7">
        <v>0.020833333333333332</v>
      </c>
      <c r="L35" s="7">
        <v>0.020833333333333332</v>
      </c>
      <c r="M35" s="7">
        <v>0.020833333333333332</v>
      </c>
      <c r="N35" s="7">
        <v>0.02040816326530612</v>
      </c>
      <c r="O35" s="7">
        <v>0.02040816326530612</v>
      </c>
      <c r="P35" s="7">
        <v>0.02040816326530612</v>
      </c>
      <c r="Q35" s="7">
        <v>0.02040816326530612</v>
      </c>
      <c r="R35" s="7">
        <v>0.02040816326530612</v>
      </c>
      <c r="S35" s="7">
        <v>0.02040816326530612</v>
      </c>
      <c r="T35" s="7">
        <v>0.020833333333333332</v>
      </c>
      <c r="U35" s="7">
        <v>0.020833333333333332</v>
      </c>
      <c r="V35" s="7">
        <v>0.020833333333333332</v>
      </c>
      <c r="W35" s="7">
        <v>0.020833333333333332</v>
      </c>
      <c r="X35" s="7">
        <v>0.020618556701030927</v>
      </c>
      <c r="Y35" s="7">
        <v>0.020618556701030927</v>
      </c>
      <c r="Z35" s="7">
        <v>0.020833333333333332</v>
      </c>
      <c r="AA35" s="7">
        <v>0.020618556701030927</v>
      </c>
      <c r="AB35" s="7">
        <v>0.020618556701030927</v>
      </c>
      <c r="AC35" s="7">
        <v>0.02040816326530612</v>
      </c>
      <c r="AD35" s="7">
        <v>0.02040816326530612</v>
      </c>
      <c r="AE35" s="7">
        <v>0.02040816326530612</v>
      </c>
      <c r="AF35" s="7">
        <v>0.020833333333333332</v>
      </c>
      <c r="AG35" s="7">
        <v>0.020833333333333332</v>
      </c>
      <c r="AH35" s="7">
        <v>0.020833333333333332</v>
      </c>
      <c r="AI35" s="7">
        <v>0.020833333333333332</v>
      </c>
      <c r="AJ35" s="7">
        <v>0.020833333333333332</v>
      </c>
      <c r="AK35" s="7">
        <v>0.020833333333333332</v>
      </c>
      <c r="AM35" s="4" t="s">
        <v>66</v>
      </c>
      <c r="AN35" s="9">
        <v>10.0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105</v>
      </c>
      <c r="B2" s="7">
        <f t="array" ref="B2:AK35">N('Sea (Adjusted)'!B2:AK35) * N('Sea (Adjusted)'!AN2:AN35)</f>
        <v>8.333333333</v>
      </c>
      <c r="C2" s="7">
        <v>6.25</v>
      </c>
      <c r="D2" s="7">
        <v>0.0</v>
      </c>
      <c r="E2" s="7">
        <v>8.333333333333332</v>
      </c>
      <c r="F2" s="7">
        <v>6.25</v>
      </c>
      <c r="G2" s="7">
        <v>0.0</v>
      </c>
      <c r="H2" s="7">
        <v>6.25</v>
      </c>
      <c r="I2" s="7">
        <v>6.25</v>
      </c>
      <c r="J2" s="7">
        <v>0.0</v>
      </c>
      <c r="K2" s="7">
        <v>6.25</v>
      </c>
      <c r="L2" s="7">
        <v>6.25</v>
      </c>
      <c r="M2" s="7">
        <v>0.0</v>
      </c>
      <c r="N2" s="7">
        <v>6.122448979591836</v>
      </c>
      <c r="O2" s="7">
        <v>6.122448979591836</v>
      </c>
      <c r="P2" s="7">
        <v>0.0</v>
      </c>
      <c r="Q2" s="7">
        <v>6.122448979591836</v>
      </c>
      <c r="R2" s="7">
        <v>6.122448979591836</v>
      </c>
      <c r="S2" s="7">
        <v>0.0</v>
      </c>
      <c r="T2" s="7">
        <v>6.25</v>
      </c>
      <c r="U2" s="7">
        <v>6.25</v>
      </c>
      <c r="V2" s="7">
        <v>0.0</v>
      </c>
      <c r="W2" s="7">
        <v>6.25</v>
      </c>
      <c r="X2" s="7">
        <v>6.185567010309279</v>
      </c>
      <c r="Y2" s="7">
        <v>0.0</v>
      </c>
      <c r="Z2" s="7">
        <v>4.166666666666666</v>
      </c>
      <c r="AA2" s="7">
        <v>4.123711340206185</v>
      </c>
      <c r="AB2" s="7">
        <v>0.0</v>
      </c>
      <c r="AC2" s="7">
        <v>8.16326530612245</v>
      </c>
      <c r="AD2" s="7">
        <v>8.16326530612245</v>
      </c>
      <c r="AE2" s="7">
        <v>0.0</v>
      </c>
      <c r="AF2" s="7">
        <v>10.416666666666668</v>
      </c>
      <c r="AG2" s="7">
        <v>6.25</v>
      </c>
      <c r="AH2" s="7">
        <v>0.0</v>
      </c>
      <c r="AI2" s="7">
        <v>8.333333333333332</v>
      </c>
      <c r="AJ2" s="7">
        <v>6.25</v>
      </c>
      <c r="AK2" s="7">
        <v>0.0</v>
      </c>
    </row>
    <row r="3">
      <c r="A3" s="4" t="s">
        <v>106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208.33333333333331</v>
      </c>
      <c r="I3" s="7">
        <v>208.33333333333331</v>
      </c>
      <c r="J3" s="7">
        <v>208.33333333333331</v>
      </c>
      <c r="K3" s="7">
        <v>156.25</v>
      </c>
      <c r="L3" s="7">
        <v>156.25</v>
      </c>
      <c r="M3" s="7">
        <v>156.25</v>
      </c>
      <c r="N3" s="7">
        <v>204.0816326530612</v>
      </c>
      <c r="O3" s="7">
        <v>204.0816326530612</v>
      </c>
      <c r="P3" s="7">
        <v>204.0816326530612</v>
      </c>
      <c r="Q3" s="7">
        <v>204.0816326530612</v>
      </c>
      <c r="R3" s="7">
        <v>204.0816326530612</v>
      </c>
      <c r="S3" s="7">
        <v>204.0816326530612</v>
      </c>
      <c r="T3" s="7">
        <v>156.25</v>
      </c>
      <c r="U3" s="7">
        <v>156.25</v>
      </c>
      <c r="V3" s="7">
        <v>156.25</v>
      </c>
      <c r="W3" s="7">
        <v>156.25</v>
      </c>
      <c r="X3" s="7">
        <v>154.63917525773198</v>
      </c>
      <c r="Y3" s="7">
        <v>154.63917525773198</v>
      </c>
      <c r="Z3" s="7">
        <v>208.33333333333331</v>
      </c>
      <c r="AA3" s="7">
        <v>206.18556701030928</v>
      </c>
      <c r="AB3" s="7">
        <v>154.63917525773198</v>
      </c>
      <c r="AC3" s="7">
        <v>204.0816326530612</v>
      </c>
      <c r="AD3" s="7">
        <v>204.0816326530612</v>
      </c>
      <c r="AE3" s="7">
        <v>255.10204081632654</v>
      </c>
      <c r="AF3" s="7">
        <v>208.33333333333331</v>
      </c>
      <c r="AG3" s="7">
        <v>208.33333333333331</v>
      </c>
      <c r="AH3" s="7">
        <v>208.33333333333331</v>
      </c>
      <c r="AI3" s="7">
        <v>0.0</v>
      </c>
      <c r="AJ3" s="7">
        <v>0.0</v>
      </c>
      <c r="AK3" s="7">
        <v>0.0</v>
      </c>
    </row>
    <row r="4">
      <c r="A4" s="4" t="s">
        <v>107</v>
      </c>
      <c r="B4" s="7">
        <v>0.0</v>
      </c>
      <c r="C4" s="7">
        <v>0.0</v>
      </c>
      <c r="D4" s="7">
        <v>156.25</v>
      </c>
      <c r="E4" s="7">
        <v>0.0</v>
      </c>
      <c r="F4" s="7">
        <v>0.0</v>
      </c>
      <c r="G4" s="7">
        <v>156.25</v>
      </c>
      <c r="H4" s="7">
        <v>0.0</v>
      </c>
      <c r="I4" s="7">
        <v>0.0</v>
      </c>
      <c r="J4" s="7">
        <v>156.25</v>
      </c>
      <c r="K4" s="7">
        <v>0.0</v>
      </c>
      <c r="L4" s="7">
        <v>0.0</v>
      </c>
      <c r="M4" s="7">
        <v>156.25</v>
      </c>
      <c r="N4" s="7">
        <v>0.0</v>
      </c>
      <c r="O4" s="7">
        <v>0.0</v>
      </c>
      <c r="P4" s="7">
        <v>153.0612244897959</v>
      </c>
      <c r="Q4" s="7">
        <v>0.0</v>
      </c>
      <c r="R4" s="7">
        <v>0.0</v>
      </c>
      <c r="S4" s="7">
        <v>153.0612244897959</v>
      </c>
      <c r="T4" s="7">
        <v>0.0</v>
      </c>
      <c r="U4" s="7">
        <v>0.0</v>
      </c>
      <c r="V4" s="7">
        <v>156.25</v>
      </c>
      <c r="W4" s="7">
        <v>0.0</v>
      </c>
      <c r="X4" s="7">
        <v>0.0</v>
      </c>
      <c r="Y4" s="7">
        <v>154.63917525773195</v>
      </c>
      <c r="Z4" s="7">
        <v>0.0</v>
      </c>
      <c r="AA4" s="7">
        <v>0.0</v>
      </c>
      <c r="AB4" s="7">
        <v>154.63917525773195</v>
      </c>
      <c r="AC4" s="7">
        <v>0.0</v>
      </c>
      <c r="AD4" s="7">
        <v>0.0</v>
      </c>
      <c r="AE4" s="7">
        <v>153.0612244897959</v>
      </c>
      <c r="AF4" s="7">
        <v>0.0</v>
      </c>
      <c r="AG4" s="7">
        <v>0.0</v>
      </c>
      <c r="AH4" s="7">
        <v>156.25</v>
      </c>
      <c r="AI4" s="7">
        <v>0.0</v>
      </c>
      <c r="AJ4" s="7">
        <v>0.0</v>
      </c>
      <c r="AK4" s="7">
        <v>156.25</v>
      </c>
    </row>
    <row r="5">
      <c r="A5" s="4" t="s">
        <v>108</v>
      </c>
      <c r="B5" s="7">
        <v>0.0</v>
      </c>
      <c r="C5" s="7">
        <v>0.0</v>
      </c>
      <c r="D5" s="7">
        <v>260.4166666666667</v>
      </c>
      <c r="E5" s="7">
        <v>0.0</v>
      </c>
      <c r="F5" s="7">
        <v>0.0</v>
      </c>
      <c r="G5" s="7">
        <v>260.4166666666667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260.4166666666667</v>
      </c>
      <c r="AI5" s="7">
        <v>0.0</v>
      </c>
      <c r="AJ5" s="7">
        <v>0.0</v>
      </c>
      <c r="AK5" s="7">
        <v>260.4166666666667</v>
      </c>
    </row>
    <row r="6">
      <c r="A6" s="4" t="s">
        <v>109</v>
      </c>
      <c r="B6" s="7">
        <v>0.0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41.666666666666664</v>
      </c>
      <c r="L6" s="7">
        <v>41.666666666666664</v>
      </c>
      <c r="M6" s="7">
        <v>41.666666666666664</v>
      </c>
      <c r="N6" s="7">
        <v>51.02040816326531</v>
      </c>
      <c r="O6" s="7">
        <v>51.02040816326531</v>
      </c>
      <c r="P6" s="7">
        <v>51.02040816326531</v>
      </c>
      <c r="Q6" s="7">
        <v>40.816326530612244</v>
      </c>
      <c r="R6" s="7">
        <v>40.816326530612244</v>
      </c>
      <c r="S6" s="7">
        <v>40.816326530612244</v>
      </c>
      <c r="T6" s="7">
        <v>41.666666666666664</v>
      </c>
      <c r="U6" s="7">
        <v>41.666666666666664</v>
      </c>
      <c r="V6" s="7">
        <v>41.666666666666664</v>
      </c>
      <c r="W6" s="7">
        <v>41.666666666666664</v>
      </c>
      <c r="X6" s="7">
        <v>41.23711340206186</v>
      </c>
      <c r="Y6" s="7">
        <v>41.23711340206186</v>
      </c>
      <c r="Z6" s="7">
        <v>41.666666666666664</v>
      </c>
      <c r="AA6" s="7">
        <v>41.23711340206186</v>
      </c>
      <c r="AB6" s="7">
        <v>41.23711340206186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</row>
    <row r="7">
      <c r="A7" s="4" t="s">
        <v>110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33.85416666666667</v>
      </c>
      <c r="L7" s="7">
        <v>33.85416666666667</v>
      </c>
      <c r="M7" s="7">
        <v>33.85416666666667</v>
      </c>
      <c r="N7" s="7">
        <v>39.795918367346935</v>
      </c>
      <c r="O7" s="7">
        <v>39.795918367346935</v>
      </c>
      <c r="P7" s="7">
        <v>39.795918367346935</v>
      </c>
      <c r="Q7" s="7">
        <v>39.795918367346935</v>
      </c>
      <c r="R7" s="7">
        <v>33.16326530612245</v>
      </c>
      <c r="S7" s="7">
        <v>39.795918367346935</v>
      </c>
      <c r="T7" s="7">
        <v>33.85416666666667</v>
      </c>
      <c r="U7" s="7">
        <v>33.85416666666667</v>
      </c>
      <c r="V7" s="7">
        <v>33.85416666666667</v>
      </c>
      <c r="W7" s="7">
        <v>33.85416666666667</v>
      </c>
      <c r="X7" s="7">
        <v>33.50515463917526</v>
      </c>
      <c r="Y7" s="7">
        <v>33.50515463917526</v>
      </c>
      <c r="Z7" s="7">
        <v>33.85416666666667</v>
      </c>
      <c r="AA7" s="7">
        <v>33.50515463917526</v>
      </c>
      <c r="AB7" s="7">
        <v>40.20618556701031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</row>
    <row r="8">
      <c r="A8" s="4" t="s">
        <v>111</v>
      </c>
      <c r="B8" s="7">
        <v>312.5</v>
      </c>
      <c r="C8" s="7">
        <v>312.5</v>
      </c>
      <c r="D8" s="7">
        <v>312.5</v>
      </c>
      <c r="E8" s="7">
        <v>312.5</v>
      </c>
      <c r="F8" s="7">
        <v>312.5</v>
      </c>
      <c r="G8" s="7">
        <v>312.5</v>
      </c>
      <c r="H8" s="7">
        <v>312.5</v>
      </c>
      <c r="I8" s="7">
        <v>312.5</v>
      </c>
      <c r="J8" s="7">
        <v>312.5</v>
      </c>
      <c r="K8" s="7">
        <v>156.25</v>
      </c>
      <c r="L8" s="7">
        <v>156.25</v>
      </c>
      <c r="M8" s="7">
        <v>156.25</v>
      </c>
      <c r="N8" s="7">
        <v>306.1224489795918</v>
      </c>
      <c r="O8" s="7">
        <v>306.1224489795918</v>
      </c>
      <c r="P8" s="7">
        <v>306.1224489795918</v>
      </c>
      <c r="Q8" s="7">
        <v>153.0612244897959</v>
      </c>
      <c r="R8" s="7">
        <v>153.0612244897959</v>
      </c>
      <c r="S8" s="7">
        <v>153.0612244897959</v>
      </c>
      <c r="T8" s="7">
        <v>156.25</v>
      </c>
      <c r="U8" s="7">
        <v>156.25</v>
      </c>
      <c r="V8" s="7">
        <v>156.25</v>
      </c>
      <c r="W8" s="7">
        <v>156.25</v>
      </c>
      <c r="X8" s="7">
        <v>154.63917525773195</v>
      </c>
      <c r="Y8" s="7">
        <v>154.63917525773195</v>
      </c>
      <c r="Z8" s="7">
        <v>156.25</v>
      </c>
      <c r="AA8" s="7">
        <v>154.63917525773195</v>
      </c>
      <c r="AB8" s="7">
        <v>154.63917525773195</v>
      </c>
      <c r="AC8" s="7">
        <v>306.1224489795918</v>
      </c>
      <c r="AD8" s="7">
        <v>306.1224489795918</v>
      </c>
      <c r="AE8" s="7">
        <v>306.1224489795918</v>
      </c>
      <c r="AF8" s="7">
        <v>312.5</v>
      </c>
      <c r="AG8" s="7">
        <v>312.5</v>
      </c>
      <c r="AH8" s="7">
        <v>312.5</v>
      </c>
      <c r="AI8" s="7">
        <v>312.5</v>
      </c>
      <c r="AJ8" s="7">
        <v>312.5</v>
      </c>
      <c r="AK8" s="7">
        <v>312.5</v>
      </c>
    </row>
    <row r="9">
      <c r="A9" s="4" t="s">
        <v>112</v>
      </c>
      <c r="B9" s="7">
        <v>40.625</v>
      </c>
      <c r="C9" s="7">
        <v>40.625</v>
      </c>
      <c r="D9" s="7">
        <v>37.5</v>
      </c>
      <c r="E9" s="7">
        <v>40.625</v>
      </c>
      <c r="F9" s="7">
        <v>40.625</v>
      </c>
      <c r="G9" s="7">
        <v>37.5</v>
      </c>
      <c r="H9" s="7">
        <v>40.625</v>
      </c>
      <c r="I9" s="7">
        <v>37.5</v>
      </c>
      <c r="J9" s="7">
        <v>37.5</v>
      </c>
      <c r="K9" s="7">
        <v>34.375</v>
      </c>
      <c r="L9" s="7">
        <v>34.375</v>
      </c>
      <c r="M9" s="7">
        <v>34.375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39.79591836734694</v>
      </c>
      <c r="AD9" s="7">
        <v>39.79591836734694</v>
      </c>
      <c r="AE9" s="7">
        <v>42.857142857142854</v>
      </c>
      <c r="AF9" s="7">
        <v>40.625</v>
      </c>
      <c r="AG9" s="7">
        <v>40.625</v>
      </c>
      <c r="AH9" s="7">
        <v>37.5</v>
      </c>
      <c r="AI9" s="7">
        <v>40.625</v>
      </c>
      <c r="AJ9" s="7">
        <v>40.625</v>
      </c>
      <c r="AK9" s="7">
        <v>37.5</v>
      </c>
    </row>
    <row r="10">
      <c r="A10" s="4" t="s">
        <v>113</v>
      </c>
      <c r="B10" s="7">
        <v>0.0</v>
      </c>
      <c r="C10" s="7">
        <v>156.25</v>
      </c>
      <c r="D10" s="7">
        <v>156.25</v>
      </c>
      <c r="E10" s="7">
        <v>0.0</v>
      </c>
      <c r="F10" s="7">
        <v>156.25</v>
      </c>
      <c r="G10" s="7">
        <v>156.25</v>
      </c>
      <c r="H10" s="7">
        <v>0.0</v>
      </c>
      <c r="I10" s="7">
        <v>156.25</v>
      </c>
      <c r="J10" s="7">
        <v>156.25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156.25</v>
      </c>
      <c r="AH10" s="7">
        <v>156.25</v>
      </c>
      <c r="AI10" s="7">
        <v>0.0</v>
      </c>
      <c r="AJ10" s="7">
        <v>156.25</v>
      </c>
      <c r="AK10" s="7">
        <v>156.25</v>
      </c>
    </row>
    <row r="11">
      <c r="A11" s="4" t="s">
        <v>114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306.1224489795918</v>
      </c>
      <c r="S11" s="7">
        <v>306.1224489795918</v>
      </c>
      <c r="T11" s="7">
        <v>0.0</v>
      </c>
      <c r="U11" s="7">
        <v>312.5</v>
      </c>
      <c r="V11" s="7">
        <v>312.5</v>
      </c>
      <c r="W11" s="7">
        <v>0.0</v>
      </c>
      <c r="X11" s="7">
        <v>309.2783505154639</v>
      </c>
      <c r="Y11" s="7">
        <v>309.2783505154639</v>
      </c>
      <c r="Z11" s="7">
        <v>0.0</v>
      </c>
      <c r="AA11" s="7">
        <v>309.2783505154639</v>
      </c>
      <c r="AB11" s="7">
        <v>309.2783505154639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</row>
    <row r="12">
      <c r="A12" s="4" t="s">
        <v>115</v>
      </c>
      <c r="B12" s="7">
        <v>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81.63265306122449</v>
      </c>
      <c r="S12" s="7">
        <v>81.63265306122449</v>
      </c>
      <c r="T12" s="7">
        <v>0.0</v>
      </c>
      <c r="U12" s="7">
        <v>83.33333333333333</v>
      </c>
      <c r="V12" s="7">
        <v>83.33333333333333</v>
      </c>
      <c r="W12" s="7">
        <v>0.0</v>
      </c>
      <c r="X12" s="7">
        <v>82.47422680412372</v>
      </c>
      <c r="Y12" s="7">
        <v>82.47422680412372</v>
      </c>
      <c r="Z12" s="7">
        <v>0.0</v>
      </c>
      <c r="AA12" s="7">
        <v>82.47422680412372</v>
      </c>
      <c r="AB12" s="7">
        <v>82.47422680412372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</row>
    <row r="13">
      <c r="A13" s="4" t="s">
        <v>116</v>
      </c>
      <c r="B13" s="7">
        <v>32.8125</v>
      </c>
      <c r="C13" s="7">
        <v>31.25</v>
      </c>
      <c r="D13" s="7">
        <v>28.125</v>
      </c>
      <c r="E13" s="7">
        <v>31.25</v>
      </c>
      <c r="F13" s="7">
        <v>29.6875</v>
      </c>
      <c r="G13" s="7">
        <v>28.125</v>
      </c>
      <c r="H13" s="7">
        <v>31.25</v>
      </c>
      <c r="I13" s="7">
        <v>28.125</v>
      </c>
      <c r="J13" s="7">
        <v>29.6875</v>
      </c>
      <c r="K13" s="7">
        <v>25.0</v>
      </c>
      <c r="L13" s="7">
        <v>25.0</v>
      </c>
      <c r="M13" s="7">
        <v>26.5625</v>
      </c>
      <c r="N13" s="7">
        <v>30.612244897959183</v>
      </c>
      <c r="O13" s="7">
        <v>30.612244897959183</v>
      </c>
      <c r="P13" s="7">
        <v>30.612244897959183</v>
      </c>
      <c r="Q13" s="7">
        <v>27.551020408163268</v>
      </c>
      <c r="R13" s="7">
        <v>27.551020408163268</v>
      </c>
      <c r="S13" s="7">
        <v>26.020408163265305</v>
      </c>
      <c r="T13" s="7">
        <v>23.4375</v>
      </c>
      <c r="U13" s="7">
        <v>21.875</v>
      </c>
      <c r="V13" s="7">
        <v>23.4375</v>
      </c>
      <c r="W13" s="7">
        <v>23.4375</v>
      </c>
      <c r="X13" s="7">
        <v>21.649484536082472</v>
      </c>
      <c r="Y13" s="7">
        <v>24.742268041237114</v>
      </c>
      <c r="Z13" s="7">
        <v>23.4375</v>
      </c>
      <c r="AA13" s="7">
        <v>23.195876288659793</v>
      </c>
      <c r="AB13" s="7">
        <v>23.195876288659793</v>
      </c>
      <c r="AC13" s="7">
        <v>30.612244897959183</v>
      </c>
      <c r="AD13" s="7">
        <v>30.612244897959183</v>
      </c>
      <c r="AE13" s="7">
        <v>32.14285714285714</v>
      </c>
      <c r="AF13" s="7">
        <v>32.8125</v>
      </c>
      <c r="AG13" s="7">
        <v>31.25</v>
      </c>
      <c r="AH13" s="7">
        <v>29.6875</v>
      </c>
      <c r="AI13" s="7">
        <v>32.8125</v>
      </c>
      <c r="AJ13" s="7">
        <v>31.25</v>
      </c>
      <c r="AK13" s="7">
        <v>28.125</v>
      </c>
    </row>
    <row r="14">
      <c r="A14" s="4" t="s">
        <v>117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41.666666666666664</v>
      </c>
      <c r="X14" s="7">
        <v>41.23711340206186</v>
      </c>
      <c r="Y14" s="7">
        <v>41.23711340206186</v>
      </c>
      <c r="Z14" s="7">
        <v>41.666666666666664</v>
      </c>
      <c r="AA14" s="7">
        <v>41.23711340206186</v>
      </c>
      <c r="AB14" s="7">
        <v>41.23711340206186</v>
      </c>
      <c r="AC14" s="7">
        <v>40.816326530612244</v>
      </c>
      <c r="AD14" s="7">
        <v>40.816326530612244</v>
      </c>
      <c r="AE14" s="7">
        <v>40.816326530612244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</row>
    <row r="15">
      <c r="A15" s="4" t="s">
        <v>118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104.16666666666666</v>
      </c>
      <c r="U15" s="7">
        <v>104.16666666666666</v>
      </c>
      <c r="V15" s="7">
        <v>0.0</v>
      </c>
      <c r="W15" s="7">
        <v>104.16666666666666</v>
      </c>
      <c r="X15" s="7">
        <v>103.09278350515464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</row>
    <row r="16">
      <c r="A16" s="4" t="s">
        <v>119</v>
      </c>
      <c r="B16" s="7">
        <v>93.75</v>
      </c>
      <c r="C16" s="7">
        <v>93.75</v>
      </c>
      <c r="D16" s="7">
        <v>93.75</v>
      </c>
      <c r="E16" s="7">
        <v>93.75</v>
      </c>
      <c r="F16" s="7">
        <v>93.75</v>
      </c>
      <c r="G16" s="7">
        <v>93.75</v>
      </c>
      <c r="H16" s="7">
        <v>93.75</v>
      </c>
      <c r="I16" s="7">
        <v>93.75</v>
      </c>
      <c r="J16" s="7">
        <v>93.75</v>
      </c>
      <c r="K16" s="7">
        <v>93.75</v>
      </c>
      <c r="L16" s="7">
        <v>93.75</v>
      </c>
      <c r="M16" s="7">
        <v>93.75</v>
      </c>
      <c r="N16" s="7">
        <v>91.83673469387755</v>
      </c>
      <c r="O16" s="7">
        <v>91.83673469387755</v>
      </c>
      <c r="P16" s="7">
        <v>91.83673469387755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93.75</v>
      </c>
      <c r="AJ16" s="7">
        <v>93.75</v>
      </c>
      <c r="AK16" s="7">
        <v>93.75</v>
      </c>
    </row>
    <row r="17">
      <c r="A17" s="4" t="s">
        <v>120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41.666666666666664</v>
      </c>
      <c r="U17" s="7">
        <v>41.666666666666664</v>
      </c>
      <c r="V17" s="7">
        <v>0.0</v>
      </c>
      <c r="W17" s="7">
        <v>41.666666666666664</v>
      </c>
      <c r="X17" s="7">
        <v>41.23711340206186</v>
      </c>
      <c r="Y17" s="7">
        <v>0.0</v>
      </c>
      <c r="Z17" s="7">
        <v>41.666666666666664</v>
      </c>
      <c r="AA17" s="7">
        <v>41.23711340206186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</row>
    <row r="18">
      <c r="A18" s="4" t="s">
        <v>121</v>
      </c>
      <c r="B18" s="7">
        <v>41.66666666666667</v>
      </c>
      <c r="C18" s="7">
        <v>41.66666666666667</v>
      </c>
      <c r="D18" s="7">
        <v>41.66666666666667</v>
      </c>
      <c r="E18" s="7">
        <v>41.66666666666667</v>
      </c>
      <c r="F18" s="7">
        <v>41.66666666666667</v>
      </c>
      <c r="G18" s="7">
        <v>41.66666666666667</v>
      </c>
      <c r="H18" s="7">
        <v>41.66666666666667</v>
      </c>
      <c r="I18" s="7">
        <v>41.66666666666667</v>
      </c>
      <c r="J18" s="7">
        <v>41.66666666666667</v>
      </c>
      <c r="K18" s="7">
        <v>33.33333333333333</v>
      </c>
      <c r="L18" s="7">
        <v>33.33333333333333</v>
      </c>
      <c r="M18" s="7">
        <v>41.66666666666667</v>
      </c>
      <c r="N18" s="7">
        <v>40.816326530612244</v>
      </c>
      <c r="O18" s="7">
        <v>40.816326530612244</v>
      </c>
      <c r="P18" s="7">
        <v>40.816326530612244</v>
      </c>
      <c r="Q18" s="7">
        <v>40.816326530612244</v>
      </c>
      <c r="R18" s="7">
        <v>32.6530612244898</v>
      </c>
      <c r="S18" s="7">
        <v>40.816326530612244</v>
      </c>
      <c r="T18" s="7">
        <v>33.33333333333333</v>
      </c>
      <c r="U18" s="7">
        <v>33.33333333333333</v>
      </c>
      <c r="V18" s="7">
        <v>33.33333333333333</v>
      </c>
      <c r="W18" s="7">
        <v>33.33333333333333</v>
      </c>
      <c r="X18" s="7">
        <v>32.98969072164948</v>
      </c>
      <c r="Y18" s="7">
        <v>32.98969072164948</v>
      </c>
      <c r="Z18" s="7">
        <v>50.0</v>
      </c>
      <c r="AA18" s="7">
        <v>41.23711340206185</v>
      </c>
      <c r="AB18" s="7">
        <v>49.48453608247423</v>
      </c>
      <c r="AC18" s="7">
        <v>40.816326530612244</v>
      </c>
      <c r="AD18" s="7">
        <v>40.816326530612244</v>
      </c>
      <c r="AE18" s="7">
        <v>48.97959183673469</v>
      </c>
      <c r="AF18" s="7">
        <v>41.66666666666667</v>
      </c>
      <c r="AG18" s="7">
        <v>41.66666666666667</v>
      </c>
      <c r="AH18" s="7">
        <v>41.66666666666667</v>
      </c>
      <c r="AI18" s="7">
        <v>41.66666666666667</v>
      </c>
      <c r="AJ18" s="7">
        <v>41.66666666666667</v>
      </c>
      <c r="AK18" s="7">
        <v>41.66666666666667</v>
      </c>
    </row>
    <row r="19">
      <c r="A19" s="4" t="s">
        <v>122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20.833333333333332</v>
      </c>
      <c r="U19" s="7">
        <v>20.833333333333332</v>
      </c>
      <c r="V19" s="7">
        <v>20.833333333333332</v>
      </c>
      <c r="W19" s="7">
        <v>20.833333333333332</v>
      </c>
      <c r="X19" s="7">
        <v>18.04123711340206</v>
      </c>
      <c r="Y19" s="7">
        <v>20.61855670103093</v>
      </c>
      <c r="Z19" s="7">
        <v>20.833333333333332</v>
      </c>
      <c r="AA19" s="7">
        <v>20.61855670103093</v>
      </c>
      <c r="AB19" s="7">
        <v>20.61855670103093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</row>
    <row r="20">
      <c r="A20" s="4" t="s">
        <v>123</v>
      </c>
      <c r="B20" s="7">
        <v>0.0</v>
      </c>
      <c r="C20" s="7">
        <v>0.0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62.5</v>
      </c>
      <c r="X20" s="7">
        <v>61.855670103092784</v>
      </c>
      <c r="Y20" s="7">
        <v>0.0</v>
      </c>
      <c r="Z20" s="7">
        <v>62.5</v>
      </c>
      <c r="AA20" s="7">
        <v>61.855670103092784</v>
      </c>
      <c r="AB20" s="7">
        <v>0.0</v>
      </c>
      <c r="AC20" s="7">
        <v>61.22448979591836</v>
      </c>
      <c r="AD20" s="7">
        <v>61.22448979591836</v>
      </c>
      <c r="AE20" s="7">
        <v>0.0</v>
      </c>
      <c r="AF20" s="7">
        <v>62.5</v>
      </c>
      <c r="AG20" s="7">
        <v>62.5</v>
      </c>
      <c r="AH20" s="7">
        <v>0.0</v>
      </c>
      <c r="AI20" s="7">
        <v>0.0</v>
      </c>
      <c r="AJ20" s="7">
        <v>0.0</v>
      </c>
      <c r="AK20" s="7">
        <v>0.0</v>
      </c>
    </row>
    <row r="21">
      <c r="A21" s="4" t="s">
        <v>124</v>
      </c>
      <c r="B21" s="7">
        <v>218.75</v>
      </c>
      <c r="C21" s="7">
        <v>187.5</v>
      </c>
      <c r="D21" s="7">
        <v>187.5</v>
      </c>
      <c r="E21" s="7">
        <v>218.75</v>
      </c>
      <c r="F21" s="7">
        <v>187.5</v>
      </c>
      <c r="G21" s="7">
        <v>187.5</v>
      </c>
      <c r="H21" s="7">
        <v>218.75</v>
      </c>
      <c r="I21" s="7">
        <v>187.5</v>
      </c>
      <c r="J21" s="7">
        <v>187.5</v>
      </c>
      <c r="K21" s="7">
        <v>187.5</v>
      </c>
      <c r="L21" s="7">
        <v>187.5</v>
      </c>
      <c r="M21" s="7">
        <v>187.5</v>
      </c>
      <c r="N21" s="7">
        <v>183.6734693877551</v>
      </c>
      <c r="O21" s="7">
        <v>183.6734693877551</v>
      </c>
      <c r="P21" s="7">
        <v>214.28571428571428</v>
      </c>
      <c r="Q21" s="7">
        <v>214.28571428571428</v>
      </c>
      <c r="R21" s="7">
        <v>183.6734693877551</v>
      </c>
      <c r="S21" s="7">
        <v>183.6734693877551</v>
      </c>
      <c r="T21" s="7">
        <v>187.5</v>
      </c>
      <c r="U21" s="7">
        <v>156.25</v>
      </c>
      <c r="V21" s="7">
        <v>187.5</v>
      </c>
      <c r="W21" s="7">
        <v>156.25</v>
      </c>
      <c r="X21" s="7">
        <v>154.63917525773195</v>
      </c>
      <c r="Y21" s="7">
        <v>154.63917525773195</v>
      </c>
      <c r="Z21" s="7">
        <v>218.75</v>
      </c>
      <c r="AA21" s="7">
        <v>216.4948453608247</v>
      </c>
      <c r="AB21" s="7">
        <v>216.4948453608247</v>
      </c>
      <c r="AC21" s="7">
        <v>214.28571428571428</v>
      </c>
      <c r="AD21" s="7">
        <v>214.28571428571428</v>
      </c>
      <c r="AE21" s="7">
        <v>214.28571428571428</v>
      </c>
      <c r="AF21" s="7">
        <v>218.75</v>
      </c>
      <c r="AG21" s="7">
        <v>187.5</v>
      </c>
      <c r="AH21" s="7">
        <v>218.75</v>
      </c>
      <c r="AI21" s="7">
        <v>218.75</v>
      </c>
      <c r="AJ21" s="7">
        <v>187.5</v>
      </c>
      <c r="AK21" s="7">
        <v>187.5</v>
      </c>
    </row>
    <row r="22">
      <c r="A22" s="19" t="s">
        <v>125</v>
      </c>
      <c r="B22" s="7">
        <v>0.0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12.244897959183673</v>
      </c>
      <c r="R22" s="7">
        <v>12.244897959183673</v>
      </c>
      <c r="S22" s="7">
        <v>12.244897959183673</v>
      </c>
      <c r="T22" s="7">
        <v>12.5</v>
      </c>
      <c r="U22" s="7">
        <v>12.5</v>
      </c>
      <c r="V22" s="7">
        <v>12.5</v>
      </c>
      <c r="W22" s="7">
        <v>12.5</v>
      </c>
      <c r="X22" s="7">
        <v>12.371134020618557</v>
      </c>
      <c r="Y22" s="7">
        <v>12.371134020618557</v>
      </c>
      <c r="Z22" s="7">
        <v>12.5</v>
      </c>
      <c r="AA22" s="7">
        <v>12.371134020618557</v>
      </c>
      <c r="AB22" s="7">
        <v>12.371134020618557</v>
      </c>
      <c r="AC22" s="7">
        <v>12.244897959183673</v>
      </c>
      <c r="AD22" s="7">
        <v>12.244897959183673</v>
      </c>
      <c r="AE22" s="7">
        <v>12.244897959183673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</row>
    <row r="23">
      <c r="A23" s="4" t="s">
        <v>126</v>
      </c>
      <c r="B23" s="7">
        <v>0.0</v>
      </c>
      <c r="C23" s="7">
        <v>0.0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0.0</v>
      </c>
      <c r="R23" s="7">
        <v>122.44897959183672</v>
      </c>
      <c r="S23" s="7">
        <v>122.44897959183672</v>
      </c>
      <c r="T23" s="7">
        <v>0.0</v>
      </c>
      <c r="U23" s="7">
        <v>125.0</v>
      </c>
      <c r="V23" s="7">
        <v>125.0</v>
      </c>
      <c r="W23" s="7">
        <v>0.0</v>
      </c>
      <c r="X23" s="7">
        <v>123.71134020618557</v>
      </c>
      <c r="Y23" s="7">
        <v>123.71134020618557</v>
      </c>
      <c r="Z23" s="7">
        <v>0.0</v>
      </c>
      <c r="AA23" s="7">
        <v>123.71134020618557</v>
      </c>
      <c r="AB23" s="7">
        <v>123.71134020618557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</row>
    <row r="24">
      <c r="A24" s="4" t="s">
        <v>127</v>
      </c>
      <c r="B24" s="7">
        <v>70.83333333333334</v>
      </c>
      <c r="C24" s="7">
        <v>66.66666666666666</v>
      </c>
      <c r="D24" s="7">
        <v>66.66666666666666</v>
      </c>
      <c r="E24" s="7">
        <v>75.0</v>
      </c>
      <c r="F24" s="7">
        <v>70.83333333333334</v>
      </c>
      <c r="G24" s="7">
        <v>66.66666666666666</v>
      </c>
      <c r="H24" s="7">
        <v>70.83333333333334</v>
      </c>
      <c r="I24" s="7">
        <v>62.5</v>
      </c>
      <c r="J24" s="7">
        <v>66.66666666666666</v>
      </c>
      <c r="K24" s="7">
        <v>58.333333333333336</v>
      </c>
      <c r="L24" s="7">
        <v>58.333333333333336</v>
      </c>
      <c r="M24" s="7">
        <v>58.333333333333336</v>
      </c>
      <c r="N24" s="7">
        <v>65.3061224489796</v>
      </c>
      <c r="O24" s="7">
        <v>65.3061224489796</v>
      </c>
      <c r="P24" s="7">
        <v>69.38775510204081</v>
      </c>
      <c r="Q24" s="7">
        <v>65.3061224489796</v>
      </c>
      <c r="R24" s="7">
        <v>65.3061224489796</v>
      </c>
      <c r="S24" s="7">
        <v>65.3061224489796</v>
      </c>
      <c r="T24" s="7">
        <v>54.166666666666664</v>
      </c>
      <c r="U24" s="7">
        <v>50.0</v>
      </c>
      <c r="V24" s="7">
        <v>54.166666666666664</v>
      </c>
      <c r="W24" s="7">
        <v>45.83333333333333</v>
      </c>
      <c r="X24" s="7">
        <v>45.36082474226804</v>
      </c>
      <c r="Y24" s="7">
        <v>49.48453608247423</v>
      </c>
      <c r="Z24" s="7">
        <v>54.166666666666664</v>
      </c>
      <c r="AA24" s="7">
        <v>49.48453608247423</v>
      </c>
      <c r="AB24" s="7">
        <v>57.73195876288659</v>
      </c>
      <c r="AC24" s="7">
        <v>69.38775510204081</v>
      </c>
      <c r="AD24" s="7">
        <v>69.38775510204081</v>
      </c>
      <c r="AE24" s="7">
        <v>73.46938775510205</v>
      </c>
      <c r="AF24" s="7">
        <v>70.83333333333334</v>
      </c>
      <c r="AG24" s="7">
        <v>66.66666666666666</v>
      </c>
      <c r="AH24" s="7">
        <v>66.66666666666666</v>
      </c>
      <c r="AI24" s="7">
        <v>70.83333333333334</v>
      </c>
      <c r="AJ24" s="7">
        <v>66.66666666666666</v>
      </c>
      <c r="AK24" s="7">
        <v>66.66666666666666</v>
      </c>
    </row>
    <row r="25">
      <c r="A25" s="4" t="s">
        <v>128</v>
      </c>
      <c r="B25" s="7">
        <v>114.58333333333333</v>
      </c>
      <c r="C25" s="7">
        <v>104.16666666666667</v>
      </c>
      <c r="D25" s="7">
        <v>104.16666666666667</v>
      </c>
      <c r="E25" s="7">
        <v>114.58333333333333</v>
      </c>
      <c r="F25" s="7">
        <v>104.16666666666667</v>
      </c>
      <c r="G25" s="7">
        <v>104.16666666666667</v>
      </c>
      <c r="H25" s="7">
        <v>104.16666666666667</v>
      </c>
      <c r="I25" s="7">
        <v>104.16666666666667</v>
      </c>
      <c r="J25" s="7">
        <v>104.16666666666667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114.58333333333333</v>
      </c>
      <c r="AJ25" s="7">
        <v>104.16666666666667</v>
      </c>
      <c r="AK25" s="7">
        <v>104.16666666666667</v>
      </c>
    </row>
    <row r="26">
      <c r="A26" s="4" t="s">
        <v>129</v>
      </c>
      <c r="B26" s="7">
        <v>0.0</v>
      </c>
      <c r="C26" s="7">
        <v>0.0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0.0</v>
      </c>
      <c r="J26" s="7">
        <v>0.0</v>
      </c>
      <c r="K26" s="7">
        <v>68.75</v>
      </c>
      <c r="L26" s="7">
        <v>68.75</v>
      </c>
      <c r="M26" s="7">
        <v>68.75</v>
      </c>
      <c r="N26" s="7">
        <v>67.3469387755102</v>
      </c>
      <c r="O26" s="7">
        <v>67.3469387755102</v>
      </c>
      <c r="P26" s="7">
        <v>67.3469387755102</v>
      </c>
      <c r="Q26" s="7">
        <v>67.3469387755102</v>
      </c>
      <c r="R26" s="7">
        <v>67.3469387755102</v>
      </c>
      <c r="S26" s="7">
        <v>67.3469387755102</v>
      </c>
      <c r="T26" s="7">
        <v>57.29166666666667</v>
      </c>
      <c r="U26" s="7">
        <v>57.29166666666667</v>
      </c>
      <c r="V26" s="7">
        <v>57.29166666666667</v>
      </c>
      <c r="W26" s="7">
        <v>57.29166666666667</v>
      </c>
      <c r="X26" s="7">
        <v>56.70103092783505</v>
      </c>
      <c r="Y26" s="7">
        <v>56.70103092783505</v>
      </c>
      <c r="Z26" s="7">
        <v>68.75</v>
      </c>
      <c r="AA26" s="7">
        <v>68.04123711340206</v>
      </c>
      <c r="AB26" s="7">
        <v>68.04123711340206</v>
      </c>
      <c r="AC26" s="7">
        <v>78.57142857142857</v>
      </c>
      <c r="AD26" s="7">
        <v>78.57142857142857</v>
      </c>
      <c r="AE26" s="7">
        <v>78.57142857142857</v>
      </c>
      <c r="AF26" s="7">
        <v>80.20833333333334</v>
      </c>
      <c r="AG26" s="7">
        <v>68.75</v>
      </c>
      <c r="AH26" s="7">
        <v>68.75</v>
      </c>
      <c r="AI26" s="7">
        <v>0.0</v>
      </c>
      <c r="AJ26" s="7">
        <v>0.0</v>
      </c>
      <c r="AK26" s="7">
        <v>0.0</v>
      </c>
    </row>
    <row r="27">
      <c r="A27" s="4" t="s">
        <v>130</v>
      </c>
      <c r="B27" s="7">
        <v>52.083333333333336</v>
      </c>
      <c r="C27" s="7">
        <v>46.875</v>
      </c>
      <c r="D27" s="7">
        <v>46.875</v>
      </c>
      <c r="E27" s="7">
        <v>52.083333333333336</v>
      </c>
      <c r="F27" s="7">
        <v>46.875</v>
      </c>
      <c r="G27" s="7">
        <v>46.875</v>
      </c>
      <c r="H27" s="7">
        <v>46.875</v>
      </c>
      <c r="I27" s="7">
        <v>46.875</v>
      </c>
      <c r="J27" s="7">
        <v>46.875</v>
      </c>
      <c r="K27" s="7">
        <v>41.666666666666664</v>
      </c>
      <c r="L27" s="7">
        <v>41.666666666666664</v>
      </c>
      <c r="M27" s="7">
        <v>41.666666666666664</v>
      </c>
      <c r="N27" s="7">
        <v>45.91836734693878</v>
      </c>
      <c r="O27" s="7">
        <v>45.91836734693878</v>
      </c>
      <c r="P27" s="7">
        <v>45.91836734693878</v>
      </c>
      <c r="Q27" s="7">
        <v>45.91836734693878</v>
      </c>
      <c r="R27" s="7">
        <v>40.816326530612244</v>
      </c>
      <c r="S27" s="7">
        <v>45.91836734693878</v>
      </c>
      <c r="T27" s="7">
        <v>41.666666666666664</v>
      </c>
      <c r="U27" s="7">
        <v>41.666666666666664</v>
      </c>
      <c r="V27" s="7">
        <v>41.666666666666664</v>
      </c>
      <c r="W27" s="7">
        <v>41.666666666666664</v>
      </c>
      <c r="X27" s="7">
        <v>36.08247422680412</v>
      </c>
      <c r="Y27" s="7">
        <v>41.23711340206186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52.083333333333336</v>
      </c>
      <c r="AJ27" s="7">
        <v>46.875</v>
      </c>
      <c r="AK27" s="7">
        <v>46.875</v>
      </c>
    </row>
    <row r="28">
      <c r="A28" s="4" t="s">
        <v>131</v>
      </c>
      <c r="B28" s="7">
        <v>0.0</v>
      </c>
      <c r="C28" s="7">
        <v>0.0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30.61224489795918</v>
      </c>
      <c r="R28" s="7">
        <v>30.61224489795918</v>
      </c>
      <c r="S28" s="7">
        <v>30.61224489795918</v>
      </c>
      <c r="T28" s="7">
        <v>31.25</v>
      </c>
      <c r="U28" s="7">
        <v>31.25</v>
      </c>
      <c r="V28" s="7">
        <v>31.25</v>
      </c>
      <c r="W28" s="7">
        <v>31.25</v>
      </c>
      <c r="X28" s="7">
        <v>30.927835051546392</v>
      </c>
      <c r="Y28" s="7">
        <v>30.927835051546392</v>
      </c>
      <c r="Z28" s="7">
        <v>31.25</v>
      </c>
      <c r="AA28" s="7">
        <v>30.927835051546392</v>
      </c>
      <c r="AB28" s="7">
        <v>30.927835051546392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</row>
    <row r="29">
      <c r="A29" s="4" t="s">
        <v>132</v>
      </c>
      <c r="B29" s="7">
        <v>0.0</v>
      </c>
      <c r="C29" s="7">
        <v>0.0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0.0</v>
      </c>
      <c r="J29" s="7">
        <v>0.0</v>
      </c>
      <c r="K29" s="7">
        <v>20.833333333333332</v>
      </c>
      <c r="L29" s="7">
        <v>20.833333333333332</v>
      </c>
      <c r="M29" s="7">
        <v>20.833333333333332</v>
      </c>
      <c r="N29" s="7">
        <v>20.408163265306122</v>
      </c>
      <c r="O29" s="7">
        <v>20.408163265306122</v>
      </c>
      <c r="P29" s="7">
        <v>20.408163265306122</v>
      </c>
      <c r="Q29" s="7">
        <v>20.408163265306122</v>
      </c>
      <c r="R29" s="7">
        <v>20.408163265306122</v>
      </c>
      <c r="S29" s="7">
        <v>20.408163265306122</v>
      </c>
      <c r="T29" s="7">
        <v>20.833333333333332</v>
      </c>
      <c r="U29" s="7">
        <v>20.833333333333332</v>
      </c>
      <c r="V29" s="7">
        <v>20.833333333333332</v>
      </c>
      <c r="W29" s="7">
        <v>20.833333333333332</v>
      </c>
      <c r="X29" s="7">
        <v>20.61855670103093</v>
      </c>
      <c r="Y29" s="7">
        <v>20.61855670103093</v>
      </c>
      <c r="Z29" s="7">
        <v>20.833333333333332</v>
      </c>
      <c r="AA29" s="7">
        <v>20.61855670103093</v>
      </c>
      <c r="AB29" s="7">
        <v>20.61855670103093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</row>
    <row r="30">
      <c r="A30" s="4" t="s">
        <v>133</v>
      </c>
      <c r="B30" s="7">
        <v>0.0</v>
      </c>
      <c r="C30" s="7">
        <v>0.0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0.0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132.6530612244898</v>
      </c>
      <c r="R30" s="7">
        <v>132.6530612244898</v>
      </c>
      <c r="S30" s="7">
        <v>132.6530612244898</v>
      </c>
      <c r="T30" s="7">
        <v>135.41666666666666</v>
      </c>
      <c r="U30" s="7">
        <v>135.41666666666666</v>
      </c>
      <c r="V30" s="7">
        <v>135.41666666666666</v>
      </c>
      <c r="W30" s="7">
        <v>135.41666666666666</v>
      </c>
      <c r="X30" s="7">
        <v>134.02061855670104</v>
      </c>
      <c r="Y30" s="7">
        <v>134.02061855670104</v>
      </c>
      <c r="Z30" s="7">
        <v>135.41666666666666</v>
      </c>
      <c r="AA30" s="7">
        <v>134.02061855670104</v>
      </c>
      <c r="AB30" s="7">
        <v>134.02061855670104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</row>
    <row r="31">
      <c r="A31" s="4" t="s">
        <v>134</v>
      </c>
      <c r="B31" s="7">
        <v>0.0</v>
      </c>
      <c r="C31" s="7">
        <v>0.0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0.0</v>
      </c>
      <c r="J31" s="7">
        <v>0.0</v>
      </c>
      <c r="K31" s="7">
        <v>36.458333333333336</v>
      </c>
      <c r="L31" s="7">
        <v>36.458333333333336</v>
      </c>
      <c r="M31" s="7">
        <v>36.458333333333336</v>
      </c>
      <c r="N31" s="7">
        <v>40.816326530612244</v>
      </c>
      <c r="O31" s="7">
        <v>40.816326530612244</v>
      </c>
      <c r="P31" s="7">
        <v>40.816326530612244</v>
      </c>
      <c r="Q31" s="7">
        <v>35.714285714285715</v>
      </c>
      <c r="R31" s="7">
        <v>35.714285714285715</v>
      </c>
      <c r="S31" s="7">
        <v>35.714285714285715</v>
      </c>
      <c r="T31" s="7">
        <v>36.458333333333336</v>
      </c>
      <c r="U31" s="7">
        <v>31.25</v>
      </c>
      <c r="V31" s="7">
        <v>36.458333333333336</v>
      </c>
      <c r="W31" s="7">
        <v>31.25</v>
      </c>
      <c r="X31" s="7">
        <v>30.927835051546392</v>
      </c>
      <c r="Y31" s="7">
        <v>36.08247422680412</v>
      </c>
      <c r="Z31" s="7">
        <v>41.666666666666664</v>
      </c>
      <c r="AA31" s="7">
        <v>36.08247422680412</v>
      </c>
      <c r="AB31" s="7">
        <v>41.23711340206186</v>
      </c>
      <c r="AC31" s="7">
        <v>40.816326530612244</v>
      </c>
      <c r="AD31" s="7">
        <v>40.816326530612244</v>
      </c>
      <c r="AE31" s="7">
        <v>40.816326530612244</v>
      </c>
      <c r="AF31" s="7">
        <v>41.666666666666664</v>
      </c>
      <c r="AG31" s="7">
        <v>41.666666666666664</v>
      </c>
      <c r="AH31" s="7">
        <v>41.666666666666664</v>
      </c>
      <c r="AI31" s="7">
        <v>0.0</v>
      </c>
      <c r="AJ31" s="7">
        <v>0.0</v>
      </c>
      <c r="AK31" s="7">
        <v>0.0</v>
      </c>
    </row>
    <row r="32">
      <c r="A32" s="4" t="s">
        <v>63</v>
      </c>
      <c r="B32" s="7">
        <v>0.10416666666666666</v>
      </c>
      <c r="C32" s="7">
        <v>0.10416666666666666</v>
      </c>
      <c r="D32" s="7">
        <v>0.10416666666666666</v>
      </c>
      <c r="E32" s="7">
        <v>0.10416666666666666</v>
      </c>
      <c r="F32" s="7">
        <v>0.10416666666666666</v>
      </c>
      <c r="G32" s="7">
        <v>0.10416666666666666</v>
      </c>
      <c r="H32" s="7">
        <v>0.10416666666666666</v>
      </c>
      <c r="I32" s="7">
        <v>0.10416666666666666</v>
      </c>
      <c r="J32" s="7">
        <v>0.10416666666666666</v>
      </c>
      <c r="K32" s="7">
        <v>0.10416666666666666</v>
      </c>
      <c r="L32" s="7">
        <v>0.10416666666666666</v>
      </c>
      <c r="M32" s="7">
        <v>0.10416666666666666</v>
      </c>
      <c r="N32" s="7">
        <v>0.1020408163265306</v>
      </c>
      <c r="O32" s="7">
        <v>0.1020408163265306</v>
      </c>
      <c r="P32" s="7">
        <v>0.1020408163265306</v>
      </c>
      <c r="Q32" s="7">
        <v>0.1020408163265306</v>
      </c>
      <c r="R32" s="7">
        <v>0.1020408163265306</v>
      </c>
      <c r="S32" s="7">
        <v>0.1020408163265306</v>
      </c>
      <c r="T32" s="7">
        <v>0.10416666666666666</v>
      </c>
      <c r="U32" s="7">
        <v>0.10416666666666666</v>
      </c>
      <c r="V32" s="7">
        <v>0.10416666666666666</v>
      </c>
      <c r="W32" s="7">
        <v>0.10416666666666666</v>
      </c>
      <c r="X32" s="7">
        <v>0.10309278350515463</v>
      </c>
      <c r="Y32" s="7">
        <v>0.10309278350515463</v>
      </c>
      <c r="Z32" s="7">
        <v>0.10416666666666666</v>
      </c>
      <c r="AA32" s="7">
        <v>0.10309278350515463</v>
      </c>
      <c r="AB32" s="7">
        <v>0.10309278350515463</v>
      </c>
      <c r="AC32" s="7">
        <v>0.1020408163265306</v>
      </c>
      <c r="AD32" s="7">
        <v>0.1020408163265306</v>
      </c>
      <c r="AE32" s="7">
        <v>0.1020408163265306</v>
      </c>
      <c r="AF32" s="7">
        <v>0.10416666666666666</v>
      </c>
      <c r="AG32" s="7">
        <v>0.10416666666666666</v>
      </c>
      <c r="AH32" s="7">
        <v>0.10416666666666666</v>
      </c>
      <c r="AI32" s="7">
        <v>0.10416666666666666</v>
      </c>
      <c r="AJ32" s="7">
        <v>0.10416666666666666</v>
      </c>
      <c r="AK32" s="7">
        <v>0.10416666666666666</v>
      </c>
    </row>
    <row r="33">
      <c r="A33" s="4" t="s">
        <v>64</v>
      </c>
      <c r="B33" s="7">
        <v>0.10416666666666666</v>
      </c>
      <c r="C33" s="7">
        <v>0.10416666666666666</v>
      </c>
      <c r="D33" s="7">
        <v>0.10416666666666666</v>
      </c>
      <c r="E33" s="7">
        <v>0.10416666666666666</v>
      </c>
      <c r="F33" s="7">
        <v>0.10416666666666666</v>
      </c>
      <c r="G33" s="7">
        <v>0.10416666666666666</v>
      </c>
      <c r="H33" s="7">
        <v>0.10416666666666666</v>
      </c>
      <c r="I33" s="7">
        <v>0.10416666666666666</v>
      </c>
      <c r="J33" s="7">
        <v>0.10416666666666666</v>
      </c>
      <c r="K33" s="7">
        <v>0.10416666666666666</v>
      </c>
      <c r="L33" s="7">
        <v>0.10416666666666666</v>
      </c>
      <c r="M33" s="7">
        <v>0.10416666666666666</v>
      </c>
      <c r="N33" s="7">
        <v>0.1020408163265306</v>
      </c>
      <c r="O33" s="7">
        <v>0.1020408163265306</v>
      </c>
      <c r="P33" s="7">
        <v>0.1020408163265306</v>
      </c>
      <c r="Q33" s="7">
        <v>0.1020408163265306</v>
      </c>
      <c r="R33" s="7">
        <v>0.1020408163265306</v>
      </c>
      <c r="S33" s="7">
        <v>0.1020408163265306</v>
      </c>
      <c r="T33" s="7">
        <v>0.10416666666666666</v>
      </c>
      <c r="U33" s="7">
        <v>0.10416666666666666</v>
      </c>
      <c r="V33" s="7">
        <v>0.10416666666666666</v>
      </c>
      <c r="W33" s="7">
        <v>0.10416666666666666</v>
      </c>
      <c r="X33" s="7">
        <v>0.10309278350515463</v>
      </c>
      <c r="Y33" s="7">
        <v>0.10309278350515463</v>
      </c>
      <c r="Z33" s="7">
        <v>0.10416666666666666</v>
      </c>
      <c r="AA33" s="7">
        <v>0.10309278350515463</v>
      </c>
      <c r="AB33" s="7">
        <v>0.10309278350515463</v>
      </c>
      <c r="AC33" s="7">
        <v>0.1020408163265306</v>
      </c>
      <c r="AD33" s="7">
        <v>0.1020408163265306</v>
      </c>
      <c r="AE33" s="7">
        <v>0.1020408163265306</v>
      </c>
      <c r="AF33" s="7">
        <v>0.10416666666666666</v>
      </c>
      <c r="AG33" s="7">
        <v>0.10416666666666666</v>
      </c>
      <c r="AH33" s="7">
        <v>0.10416666666666666</v>
      </c>
      <c r="AI33" s="7">
        <v>0.10416666666666666</v>
      </c>
      <c r="AJ33" s="7">
        <v>0.10416666666666666</v>
      </c>
      <c r="AK33" s="7">
        <v>0.10416666666666666</v>
      </c>
    </row>
    <row r="34">
      <c r="A34" s="4" t="s">
        <v>65</v>
      </c>
      <c r="B34" s="7">
        <v>0.10416666666666666</v>
      </c>
      <c r="C34" s="7">
        <v>0.10416666666666666</v>
      </c>
      <c r="D34" s="7">
        <v>0.10416666666666666</v>
      </c>
      <c r="E34" s="7">
        <v>0.10416666666666666</v>
      </c>
      <c r="F34" s="7">
        <v>0.10416666666666666</v>
      </c>
      <c r="G34" s="7">
        <v>0.10416666666666666</v>
      </c>
      <c r="H34" s="7">
        <v>0.10416666666666666</v>
      </c>
      <c r="I34" s="7">
        <v>0.10416666666666666</v>
      </c>
      <c r="J34" s="7">
        <v>0.10416666666666666</v>
      </c>
      <c r="K34" s="7">
        <v>0.10416666666666666</v>
      </c>
      <c r="L34" s="7">
        <v>0.10416666666666666</v>
      </c>
      <c r="M34" s="7">
        <v>0.10416666666666666</v>
      </c>
      <c r="N34" s="7">
        <v>0.1020408163265306</v>
      </c>
      <c r="O34" s="7">
        <v>0.1020408163265306</v>
      </c>
      <c r="P34" s="7">
        <v>0.1020408163265306</v>
      </c>
      <c r="Q34" s="7">
        <v>0.1020408163265306</v>
      </c>
      <c r="R34" s="7">
        <v>0.1020408163265306</v>
      </c>
      <c r="S34" s="7">
        <v>0.1020408163265306</v>
      </c>
      <c r="T34" s="7">
        <v>0.10416666666666666</v>
      </c>
      <c r="U34" s="7">
        <v>0.10416666666666666</v>
      </c>
      <c r="V34" s="7">
        <v>0.10416666666666666</v>
      </c>
      <c r="W34" s="7">
        <v>0.10416666666666666</v>
      </c>
      <c r="X34" s="7">
        <v>0.10309278350515463</v>
      </c>
      <c r="Y34" s="7">
        <v>0.10309278350515463</v>
      </c>
      <c r="Z34" s="7">
        <v>0.10416666666666666</v>
      </c>
      <c r="AA34" s="7">
        <v>0.10309278350515463</v>
      </c>
      <c r="AB34" s="7">
        <v>0.10309278350515463</v>
      </c>
      <c r="AC34" s="7">
        <v>0.1020408163265306</v>
      </c>
      <c r="AD34" s="7">
        <v>0.1020408163265306</v>
      </c>
      <c r="AE34" s="7">
        <v>0.1020408163265306</v>
      </c>
      <c r="AF34" s="7">
        <v>0.10416666666666666</v>
      </c>
      <c r="AG34" s="7">
        <v>0.10416666666666666</v>
      </c>
      <c r="AH34" s="7">
        <v>0.10416666666666666</v>
      </c>
      <c r="AI34" s="7">
        <v>0.10416666666666666</v>
      </c>
      <c r="AJ34" s="7">
        <v>0.10416666666666666</v>
      </c>
      <c r="AK34" s="7">
        <v>0.10416666666666666</v>
      </c>
    </row>
    <row r="35">
      <c r="A35" s="4" t="s">
        <v>66</v>
      </c>
      <c r="B35" s="7">
        <v>0.20833333333333331</v>
      </c>
      <c r="C35" s="7">
        <v>0.20833333333333331</v>
      </c>
      <c r="D35" s="7">
        <v>0.20833333333333331</v>
      </c>
      <c r="E35" s="7">
        <v>0.20833333333333331</v>
      </c>
      <c r="F35" s="7">
        <v>0.20833333333333331</v>
      </c>
      <c r="G35" s="7">
        <v>0.20833333333333331</v>
      </c>
      <c r="H35" s="7">
        <v>0.20833333333333331</v>
      </c>
      <c r="I35" s="7">
        <v>0.20833333333333331</v>
      </c>
      <c r="J35" s="7">
        <v>0.20833333333333331</v>
      </c>
      <c r="K35" s="7">
        <v>0.20833333333333331</v>
      </c>
      <c r="L35" s="7">
        <v>0.20833333333333331</v>
      </c>
      <c r="M35" s="7">
        <v>0.20833333333333331</v>
      </c>
      <c r="N35" s="7">
        <v>0.2040816326530612</v>
      </c>
      <c r="O35" s="7">
        <v>0.2040816326530612</v>
      </c>
      <c r="P35" s="7">
        <v>0.2040816326530612</v>
      </c>
      <c r="Q35" s="7">
        <v>0.2040816326530612</v>
      </c>
      <c r="R35" s="7">
        <v>0.2040816326530612</v>
      </c>
      <c r="S35" s="7">
        <v>0.2040816326530612</v>
      </c>
      <c r="T35" s="7">
        <v>0.20833333333333331</v>
      </c>
      <c r="U35" s="7">
        <v>0.20833333333333331</v>
      </c>
      <c r="V35" s="7">
        <v>0.20833333333333331</v>
      </c>
      <c r="W35" s="7">
        <v>0.20833333333333331</v>
      </c>
      <c r="X35" s="7">
        <v>0.20618556701030927</v>
      </c>
      <c r="Y35" s="7">
        <v>0.20618556701030927</v>
      </c>
      <c r="Z35" s="7">
        <v>0.20833333333333331</v>
      </c>
      <c r="AA35" s="7">
        <v>0.20618556701030927</v>
      </c>
      <c r="AB35" s="7">
        <v>0.20618556701030927</v>
      </c>
      <c r="AC35" s="7">
        <v>0.2040816326530612</v>
      </c>
      <c r="AD35" s="7">
        <v>0.2040816326530612</v>
      </c>
      <c r="AE35" s="7">
        <v>0.2040816326530612</v>
      </c>
      <c r="AF35" s="7">
        <v>0.20833333333333331</v>
      </c>
      <c r="AG35" s="7">
        <v>0.20833333333333331</v>
      </c>
      <c r="AH35" s="7">
        <v>0.20833333333333331</v>
      </c>
      <c r="AI35" s="7">
        <v>0.20833333333333331</v>
      </c>
      <c r="AJ35" s="7">
        <v>0.20833333333333331</v>
      </c>
      <c r="AK35" s="7">
        <v>0.20833333333333331</v>
      </c>
    </row>
    <row r="36">
      <c r="A36" s="16" t="s">
        <v>76</v>
      </c>
      <c r="B36" s="17">
        <f t="shared" ref="B36:AK36" si="1">SUM(B2:B35)</f>
        <v>986.4583333</v>
      </c>
      <c r="C36" s="17">
        <f t="shared" si="1"/>
        <v>1088.020833</v>
      </c>
      <c r="D36" s="17">
        <f t="shared" si="1"/>
        <v>1492.1875</v>
      </c>
      <c r="E36" s="17">
        <f t="shared" si="1"/>
        <v>989.0625</v>
      </c>
      <c r="F36" s="17">
        <f t="shared" si="1"/>
        <v>1090.625</v>
      </c>
      <c r="G36" s="17">
        <f t="shared" si="1"/>
        <v>1492.1875</v>
      </c>
      <c r="H36" s="17">
        <f t="shared" si="1"/>
        <v>1175.520833</v>
      </c>
      <c r="I36" s="17">
        <f t="shared" si="1"/>
        <v>1285.9375</v>
      </c>
      <c r="J36" s="17">
        <f t="shared" si="1"/>
        <v>1441.666667</v>
      </c>
      <c r="K36" s="17">
        <f t="shared" si="1"/>
        <v>994.7916667</v>
      </c>
      <c r="L36" s="17">
        <f t="shared" si="1"/>
        <v>994.7916667</v>
      </c>
      <c r="M36" s="17">
        <f t="shared" si="1"/>
        <v>1154.6875</v>
      </c>
      <c r="N36" s="17">
        <f t="shared" si="1"/>
        <v>1194.387755</v>
      </c>
      <c r="O36" s="17">
        <f t="shared" si="1"/>
        <v>1194.387755</v>
      </c>
      <c r="P36" s="17">
        <f t="shared" si="1"/>
        <v>1376.020408</v>
      </c>
      <c r="Q36" s="17">
        <f t="shared" si="1"/>
        <v>1137.244898</v>
      </c>
      <c r="R36" s="17">
        <f t="shared" si="1"/>
        <v>1596.938776</v>
      </c>
      <c r="S36" s="17">
        <f t="shared" si="1"/>
        <v>1762.244898</v>
      </c>
      <c r="T36" s="17">
        <f t="shared" si="1"/>
        <v>1195.3125</v>
      </c>
      <c r="U36" s="17">
        <f t="shared" si="1"/>
        <v>1673.958333</v>
      </c>
      <c r="V36" s="17">
        <f t="shared" si="1"/>
        <v>1720.3125</v>
      </c>
      <c r="W36" s="17">
        <f t="shared" si="1"/>
        <v>1254.6875</v>
      </c>
      <c r="X36" s="17">
        <f t="shared" si="1"/>
        <v>1747.938144</v>
      </c>
      <c r="Y36" s="17">
        <f t="shared" si="1"/>
        <v>1710.309278</v>
      </c>
      <c r="Z36" s="17">
        <f t="shared" si="1"/>
        <v>1268.229167</v>
      </c>
      <c r="AA36" s="17">
        <f t="shared" si="1"/>
        <v>1753.092784</v>
      </c>
      <c r="AB36" s="17">
        <f t="shared" si="1"/>
        <v>1777.319588</v>
      </c>
      <c r="AC36" s="17">
        <f t="shared" si="1"/>
        <v>1147.44898</v>
      </c>
      <c r="AD36" s="17">
        <f t="shared" si="1"/>
        <v>1147.44898</v>
      </c>
      <c r="AE36" s="17">
        <f t="shared" si="1"/>
        <v>1298.979592</v>
      </c>
      <c r="AF36" s="17">
        <f t="shared" si="1"/>
        <v>1120.833333</v>
      </c>
      <c r="AG36" s="17">
        <f t="shared" si="1"/>
        <v>1224.479167</v>
      </c>
      <c r="AH36" s="17">
        <f t="shared" si="1"/>
        <v>1598.958333</v>
      </c>
      <c r="AI36" s="17">
        <f t="shared" si="1"/>
        <v>986.4583333</v>
      </c>
      <c r="AJ36" s="17">
        <f t="shared" si="1"/>
        <v>1088.020833</v>
      </c>
      <c r="AK36" s="17">
        <f t="shared" si="1"/>
        <v>1492.1875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148</v>
      </c>
      <c r="B2" s="20">
        <v>2.0</v>
      </c>
      <c r="C2" s="20">
        <v>2.0</v>
      </c>
      <c r="D2" s="20">
        <v>2.0</v>
      </c>
      <c r="E2" s="20">
        <v>2.0</v>
      </c>
      <c r="F2" s="20">
        <v>2.0</v>
      </c>
      <c r="G2" s="20">
        <v>2.0</v>
      </c>
      <c r="H2" s="20">
        <v>2.0</v>
      </c>
      <c r="I2" s="20">
        <v>2.0</v>
      </c>
      <c r="J2" s="20">
        <v>2.0</v>
      </c>
      <c r="K2" s="20">
        <v>2.0</v>
      </c>
      <c r="L2" s="20">
        <v>2.0</v>
      </c>
      <c r="M2" s="20">
        <v>2.0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20">
        <v>2.0</v>
      </c>
      <c r="U2" s="20">
        <v>2.0</v>
      </c>
      <c r="V2" s="20">
        <v>2.0</v>
      </c>
      <c r="W2" s="20">
        <v>2.0</v>
      </c>
      <c r="X2" s="2">
        <v>1.0</v>
      </c>
      <c r="Y2" s="2">
        <v>1.0</v>
      </c>
      <c r="Z2" s="20">
        <v>2.0</v>
      </c>
      <c r="AA2" s="2">
        <v>1.0</v>
      </c>
      <c r="AB2" s="2">
        <v>1.0</v>
      </c>
      <c r="AC2" s="12">
        <v>0.0</v>
      </c>
      <c r="AD2" s="12">
        <v>0.0</v>
      </c>
      <c r="AE2" s="12">
        <v>0.0</v>
      </c>
      <c r="AF2" s="20">
        <v>2.0</v>
      </c>
      <c r="AG2" s="20">
        <v>2.0</v>
      </c>
      <c r="AH2" s="20">
        <v>2.0</v>
      </c>
      <c r="AI2" s="20">
        <v>2.0</v>
      </c>
      <c r="AJ2" s="20">
        <v>2.0</v>
      </c>
      <c r="AK2" s="20">
        <v>2.0</v>
      </c>
    </row>
    <row r="3">
      <c r="A3" s="4" t="s">
        <v>149</v>
      </c>
      <c r="B3" s="12">
        <v>0.0</v>
      </c>
      <c r="C3" s="12">
        <v>0.0</v>
      </c>
      <c r="D3" s="12">
        <v>0.0</v>
      </c>
      <c r="E3" s="12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20">
        <v>1.0</v>
      </c>
      <c r="O3" s="20">
        <v>1.0</v>
      </c>
      <c r="P3" s="20">
        <v>1.0</v>
      </c>
      <c r="Q3" s="20">
        <v>1.0</v>
      </c>
      <c r="R3" s="20">
        <v>1.0</v>
      </c>
      <c r="S3" s="20">
        <v>1.0</v>
      </c>
      <c r="T3" s="20">
        <v>1.0</v>
      </c>
      <c r="U3" s="20">
        <v>1.0</v>
      </c>
      <c r="V3" s="20">
        <v>1.0</v>
      </c>
      <c r="W3" s="20">
        <v>1.0</v>
      </c>
      <c r="X3" s="20">
        <v>1.0</v>
      </c>
      <c r="Y3" s="20">
        <v>1.0</v>
      </c>
      <c r="Z3" s="20">
        <v>1.0</v>
      </c>
      <c r="AA3" s="20">
        <v>1.0</v>
      </c>
      <c r="AB3" s="20">
        <v>1.0</v>
      </c>
      <c r="AC3" s="20">
        <v>1.0</v>
      </c>
      <c r="AD3" s="20">
        <v>1.0</v>
      </c>
      <c r="AE3" s="20">
        <v>1.0</v>
      </c>
      <c r="AF3" s="12">
        <v>0.0</v>
      </c>
      <c r="AG3" s="12">
        <v>0.0</v>
      </c>
      <c r="AH3" s="12">
        <v>0.0</v>
      </c>
      <c r="AI3" s="12">
        <v>0.0</v>
      </c>
      <c r="AJ3" s="12">
        <v>0.0</v>
      </c>
      <c r="AK3" s="12">
        <v>0.0</v>
      </c>
    </row>
    <row r="4">
      <c r="A4" s="4" t="s">
        <v>150</v>
      </c>
      <c r="B4" s="12">
        <v>0.0</v>
      </c>
      <c r="C4" s="12">
        <v>0.0</v>
      </c>
      <c r="D4" s="12">
        <v>0.0</v>
      </c>
      <c r="E4" s="12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20">
        <v>1.0</v>
      </c>
      <c r="O4" s="20">
        <v>1.0</v>
      </c>
      <c r="P4" s="20">
        <v>1.0</v>
      </c>
      <c r="Q4" s="20">
        <v>1.0</v>
      </c>
      <c r="R4" s="20">
        <v>1.0</v>
      </c>
      <c r="S4" s="20">
        <v>1.0</v>
      </c>
      <c r="T4" s="20">
        <v>1.0</v>
      </c>
      <c r="U4" s="20">
        <v>1.0</v>
      </c>
      <c r="V4" s="20">
        <v>1.0</v>
      </c>
      <c r="W4" s="20">
        <v>1.0</v>
      </c>
      <c r="X4" s="20">
        <v>1.0</v>
      </c>
      <c r="Y4" s="20">
        <v>1.0</v>
      </c>
      <c r="Z4" s="20">
        <v>1.0</v>
      </c>
      <c r="AA4" s="20">
        <v>1.0</v>
      </c>
      <c r="AB4" s="20">
        <v>1.0</v>
      </c>
      <c r="AC4" s="20">
        <v>1.0</v>
      </c>
      <c r="AD4" s="20">
        <v>1.0</v>
      </c>
      <c r="AE4" s="20">
        <v>1.0</v>
      </c>
      <c r="AF4" s="12">
        <v>0.0</v>
      </c>
      <c r="AG4" s="12">
        <v>0.0</v>
      </c>
      <c r="AH4" s="12">
        <v>0.0</v>
      </c>
      <c r="AI4" s="12">
        <v>0.0</v>
      </c>
      <c r="AJ4" s="12">
        <v>0.0</v>
      </c>
      <c r="AK4" s="12">
        <v>0.0</v>
      </c>
    </row>
    <row r="5">
      <c r="A5" s="4" t="s">
        <v>151</v>
      </c>
      <c r="B5" s="20">
        <v>2.0</v>
      </c>
      <c r="C5" s="20">
        <v>2.0</v>
      </c>
      <c r="D5" s="20">
        <v>2.0</v>
      </c>
      <c r="E5" s="20">
        <v>2.0</v>
      </c>
      <c r="F5" s="20">
        <v>2.0</v>
      </c>
      <c r="G5" s="20">
        <v>2.0</v>
      </c>
      <c r="H5" s="20">
        <v>2.0</v>
      </c>
      <c r="I5" s="20">
        <v>2.0</v>
      </c>
      <c r="J5" s="20">
        <v>2.0</v>
      </c>
      <c r="K5" s="20">
        <v>2.0</v>
      </c>
      <c r="L5" s="20">
        <v>2.0</v>
      </c>
      <c r="M5" s="20">
        <v>2.0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20">
        <v>2.0</v>
      </c>
      <c r="AG5" s="20">
        <v>2.0</v>
      </c>
      <c r="AH5" s="20">
        <v>2.0</v>
      </c>
      <c r="AI5" s="20">
        <v>2.0</v>
      </c>
      <c r="AJ5" s="20">
        <v>2.0</v>
      </c>
      <c r="AK5" s="20">
        <v>2.0</v>
      </c>
    </row>
    <row r="6">
      <c r="A6" s="4" t="s">
        <v>63</v>
      </c>
      <c r="B6" s="20">
        <v>1.0</v>
      </c>
      <c r="C6" s="20">
        <v>1.0</v>
      </c>
      <c r="D6" s="20">
        <v>1.0</v>
      </c>
      <c r="E6" s="20">
        <v>1.0</v>
      </c>
      <c r="F6" s="20">
        <v>1.0</v>
      </c>
      <c r="G6" s="20">
        <v>1.0</v>
      </c>
      <c r="H6" s="20">
        <v>1.0</v>
      </c>
      <c r="I6" s="20">
        <v>1.0</v>
      </c>
      <c r="J6" s="20">
        <v>1.0</v>
      </c>
      <c r="K6" s="20">
        <v>1.0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>
        <v>1.0</v>
      </c>
      <c r="R6" s="20">
        <v>1.0</v>
      </c>
      <c r="S6" s="20">
        <v>1.0</v>
      </c>
      <c r="T6" s="20">
        <v>1.0</v>
      </c>
      <c r="U6" s="20">
        <v>1.0</v>
      </c>
      <c r="V6" s="20">
        <v>1.0</v>
      </c>
      <c r="W6" s="20">
        <v>1.0</v>
      </c>
      <c r="X6" s="20">
        <v>1.0</v>
      </c>
      <c r="Y6" s="20">
        <v>1.0</v>
      </c>
      <c r="Z6" s="20">
        <v>1.0</v>
      </c>
      <c r="AA6" s="20">
        <v>1.0</v>
      </c>
      <c r="AB6" s="20">
        <v>1.0</v>
      </c>
      <c r="AC6" s="20">
        <v>1.0</v>
      </c>
      <c r="AD6" s="20">
        <v>1.0</v>
      </c>
      <c r="AE6" s="20">
        <v>1.0</v>
      </c>
      <c r="AF6" s="20">
        <v>1.0</v>
      </c>
      <c r="AG6" s="20">
        <v>1.0</v>
      </c>
      <c r="AH6" s="20">
        <v>1.0</v>
      </c>
      <c r="AI6" s="20">
        <v>1.0</v>
      </c>
      <c r="AJ6" s="20">
        <v>1.0</v>
      </c>
      <c r="AK6" s="20">
        <v>1.0</v>
      </c>
    </row>
    <row r="7">
      <c r="A7" s="4" t="s">
        <v>64</v>
      </c>
      <c r="B7" s="20">
        <v>1.0</v>
      </c>
      <c r="C7" s="20">
        <v>1.0</v>
      </c>
      <c r="D7" s="20">
        <v>1.0</v>
      </c>
      <c r="E7" s="20">
        <v>1.0</v>
      </c>
      <c r="F7" s="20">
        <v>1.0</v>
      </c>
      <c r="G7" s="20">
        <v>1.0</v>
      </c>
      <c r="H7" s="20">
        <v>1.0</v>
      </c>
      <c r="I7" s="20">
        <v>1.0</v>
      </c>
      <c r="J7" s="20">
        <v>1.0</v>
      </c>
      <c r="K7" s="20">
        <v>1.0</v>
      </c>
      <c r="L7" s="20">
        <v>1.0</v>
      </c>
      <c r="M7" s="20">
        <v>1.0</v>
      </c>
      <c r="N7" s="20">
        <v>1.0</v>
      </c>
      <c r="O7" s="20">
        <v>1.0</v>
      </c>
      <c r="P7" s="20">
        <v>1.0</v>
      </c>
      <c r="Q7" s="20">
        <v>1.0</v>
      </c>
      <c r="R7" s="20">
        <v>1.0</v>
      </c>
      <c r="S7" s="20">
        <v>1.0</v>
      </c>
      <c r="T7" s="20">
        <v>1.0</v>
      </c>
      <c r="U7" s="20">
        <v>1.0</v>
      </c>
      <c r="V7" s="20">
        <v>1.0</v>
      </c>
      <c r="W7" s="20">
        <v>1.0</v>
      </c>
      <c r="X7" s="20">
        <v>1.0</v>
      </c>
      <c r="Y7" s="20">
        <v>1.0</v>
      </c>
      <c r="Z7" s="20">
        <v>1.0</v>
      </c>
      <c r="AA7" s="20">
        <v>1.0</v>
      </c>
      <c r="AB7" s="20">
        <v>1.0</v>
      </c>
      <c r="AC7" s="20">
        <v>1.0</v>
      </c>
      <c r="AD7" s="20">
        <v>1.0</v>
      </c>
      <c r="AE7" s="20">
        <v>1.0</v>
      </c>
      <c r="AF7" s="20">
        <v>1.0</v>
      </c>
      <c r="AG7" s="20">
        <v>1.0</v>
      </c>
      <c r="AH7" s="20">
        <v>1.0</v>
      </c>
      <c r="AI7" s="20">
        <v>1.0</v>
      </c>
      <c r="AJ7" s="20">
        <v>1.0</v>
      </c>
      <c r="AK7" s="20">
        <v>1.0</v>
      </c>
    </row>
    <row r="8">
      <c r="A8" s="4" t="s">
        <v>65</v>
      </c>
      <c r="B8" s="20">
        <v>1.0</v>
      </c>
      <c r="C8" s="20">
        <v>1.0</v>
      </c>
      <c r="D8" s="20">
        <v>1.0</v>
      </c>
      <c r="E8" s="20">
        <v>1.0</v>
      </c>
      <c r="F8" s="20">
        <v>1.0</v>
      </c>
      <c r="G8" s="20">
        <v>1.0</v>
      </c>
      <c r="H8" s="20">
        <v>1.0</v>
      </c>
      <c r="I8" s="20">
        <v>1.0</v>
      </c>
      <c r="J8" s="20">
        <v>1.0</v>
      </c>
      <c r="K8" s="20">
        <v>1.0</v>
      </c>
      <c r="L8" s="20">
        <v>1.0</v>
      </c>
      <c r="M8" s="20">
        <v>1.0</v>
      </c>
      <c r="N8" s="20">
        <v>1.0</v>
      </c>
      <c r="O8" s="20">
        <v>1.0</v>
      </c>
      <c r="P8" s="20">
        <v>1.0</v>
      </c>
      <c r="Q8" s="20">
        <v>1.0</v>
      </c>
      <c r="R8" s="20">
        <v>1.0</v>
      </c>
      <c r="S8" s="20">
        <v>1.0</v>
      </c>
      <c r="T8" s="20">
        <v>1.0</v>
      </c>
      <c r="U8" s="20">
        <v>1.0</v>
      </c>
      <c r="V8" s="20">
        <v>1.0</v>
      </c>
      <c r="W8" s="20">
        <v>1.0</v>
      </c>
      <c r="X8" s="20">
        <v>1.0</v>
      </c>
      <c r="Y8" s="20">
        <v>1.0</v>
      </c>
      <c r="Z8" s="20">
        <v>1.0</v>
      </c>
      <c r="AA8" s="20">
        <v>1.0</v>
      </c>
      <c r="AB8" s="20">
        <v>1.0</v>
      </c>
      <c r="AC8" s="20">
        <v>1.0</v>
      </c>
      <c r="AD8" s="20">
        <v>1.0</v>
      </c>
      <c r="AE8" s="20">
        <v>1.0</v>
      </c>
      <c r="AF8" s="20">
        <v>1.0</v>
      </c>
      <c r="AG8" s="20">
        <v>1.0</v>
      </c>
      <c r="AH8" s="20">
        <v>1.0</v>
      </c>
      <c r="AI8" s="20">
        <v>1.0</v>
      </c>
      <c r="AJ8" s="20">
        <v>1.0</v>
      </c>
      <c r="AK8" s="20">
        <v>1.0</v>
      </c>
    </row>
    <row r="9">
      <c r="A9" s="4" t="s">
        <v>66</v>
      </c>
      <c r="B9" s="20">
        <v>2.0</v>
      </c>
      <c r="C9" s="20">
        <v>2.0</v>
      </c>
      <c r="D9" s="20">
        <v>2.0</v>
      </c>
      <c r="E9" s="20">
        <v>2.0</v>
      </c>
      <c r="F9" s="20">
        <v>2.0</v>
      </c>
      <c r="G9" s="20">
        <v>2.0</v>
      </c>
      <c r="H9" s="20">
        <v>2.0</v>
      </c>
      <c r="I9" s="20">
        <v>2.0</v>
      </c>
      <c r="J9" s="20">
        <v>2.0</v>
      </c>
      <c r="K9" s="20">
        <v>2.0</v>
      </c>
      <c r="L9" s="20">
        <v>2.0</v>
      </c>
      <c r="M9" s="20">
        <v>2.0</v>
      </c>
      <c r="N9" s="20">
        <v>2.0</v>
      </c>
      <c r="O9" s="20">
        <v>2.0</v>
      </c>
      <c r="P9" s="20">
        <v>2.0</v>
      </c>
      <c r="Q9" s="20">
        <v>2.0</v>
      </c>
      <c r="R9" s="20">
        <v>2.0</v>
      </c>
      <c r="S9" s="20">
        <v>2.0</v>
      </c>
      <c r="T9" s="20">
        <v>2.0</v>
      </c>
      <c r="U9" s="20">
        <v>2.0</v>
      </c>
      <c r="V9" s="20">
        <v>2.0</v>
      </c>
      <c r="W9" s="20">
        <v>2.0</v>
      </c>
      <c r="X9" s="20">
        <v>2.0</v>
      </c>
      <c r="Y9" s="20">
        <v>2.0</v>
      </c>
      <c r="Z9" s="20">
        <v>2.0</v>
      </c>
      <c r="AA9" s="20">
        <v>2.0</v>
      </c>
      <c r="AB9" s="20">
        <v>2.0</v>
      </c>
      <c r="AC9" s="20">
        <v>2.0</v>
      </c>
      <c r="AD9" s="20">
        <v>2.0</v>
      </c>
      <c r="AE9" s="20">
        <v>2.0</v>
      </c>
      <c r="AF9" s="20">
        <v>2.0</v>
      </c>
      <c r="AG9" s="20">
        <v>2.0</v>
      </c>
      <c r="AH9" s="20">
        <v>2.0</v>
      </c>
      <c r="AI9" s="20">
        <v>2.0</v>
      </c>
      <c r="AJ9" s="20">
        <v>2.0</v>
      </c>
      <c r="AK9" s="20">
        <v>2.0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N1" s="8" t="s">
        <v>67</v>
      </c>
    </row>
    <row r="2">
      <c r="A2" s="4" t="s">
        <v>148</v>
      </c>
      <c r="B2" s="7">
        <f t="array" ref="B2:AK35">IF(
    'Pier (Original Data)'!B2:AK35 = "",
    "",
    'Pier (Original Data)'!B2:AK35 / (MMULT(TRANSPOSE(SIGN(ROW('Pier (Original Data)'!B2:AK35))), N('Pier (Original Data)'!B2:AK35)))
  )</f>
        <v>0.2222222222</v>
      </c>
      <c r="C2" s="7">
        <v>0.2222222222222222</v>
      </c>
      <c r="D2" s="7">
        <v>0.2222222222222222</v>
      </c>
      <c r="E2" s="7">
        <v>0.2222222222222222</v>
      </c>
      <c r="F2" s="7">
        <v>0.2222222222222222</v>
      </c>
      <c r="G2" s="7">
        <v>0.2222222222222222</v>
      </c>
      <c r="H2" s="7">
        <v>0.2222222222222222</v>
      </c>
      <c r="I2" s="7">
        <v>0.2222222222222222</v>
      </c>
      <c r="J2" s="7">
        <v>0.2222222222222222</v>
      </c>
      <c r="K2" s="7">
        <v>0.2222222222222222</v>
      </c>
      <c r="L2" s="7">
        <v>0.2222222222222222</v>
      </c>
      <c r="M2" s="7">
        <v>0.2222222222222222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0.2222222222222222</v>
      </c>
      <c r="U2" s="7">
        <v>0.2222222222222222</v>
      </c>
      <c r="V2" s="7">
        <v>0.2222222222222222</v>
      </c>
      <c r="W2" s="7">
        <v>0.2222222222222222</v>
      </c>
      <c r="X2" s="7">
        <v>0.125</v>
      </c>
      <c r="Y2" s="7">
        <v>0.125</v>
      </c>
      <c r="Z2" s="7">
        <v>0.2222222222222222</v>
      </c>
      <c r="AA2" s="7">
        <v>0.125</v>
      </c>
      <c r="AB2" s="7">
        <v>0.125</v>
      </c>
      <c r="AC2" s="7">
        <v>0.0</v>
      </c>
      <c r="AD2" s="7">
        <v>0.0</v>
      </c>
      <c r="AE2" s="7">
        <v>0.0</v>
      </c>
      <c r="AF2" s="7">
        <v>0.2222222222222222</v>
      </c>
      <c r="AG2" s="7">
        <v>0.2222222222222222</v>
      </c>
      <c r="AH2" s="7">
        <v>0.2222222222222222</v>
      </c>
      <c r="AI2" s="7">
        <v>0.2222222222222222</v>
      </c>
      <c r="AJ2" s="7">
        <v>0.2222222222222222</v>
      </c>
      <c r="AK2" s="7">
        <v>0.2222222222222222</v>
      </c>
      <c r="AL2" s="13"/>
      <c r="AM2" s="6" t="s">
        <v>148</v>
      </c>
      <c r="AN2" s="8">
        <v>10000.0</v>
      </c>
    </row>
    <row r="3">
      <c r="A3" s="4" t="s">
        <v>149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0.14285714285714285</v>
      </c>
      <c r="O3" s="7">
        <v>0.14285714285714285</v>
      </c>
      <c r="P3" s="7">
        <v>0.14285714285714285</v>
      </c>
      <c r="Q3" s="7">
        <v>0.14285714285714285</v>
      </c>
      <c r="R3" s="7">
        <v>0.14285714285714285</v>
      </c>
      <c r="S3" s="7">
        <v>0.14285714285714285</v>
      </c>
      <c r="T3" s="7">
        <v>0.1111111111111111</v>
      </c>
      <c r="U3" s="7">
        <v>0.1111111111111111</v>
      </c>
      <c r="V3" s="7">
        <v>0.1111111111111111</v>
      </c>
      <c r="W3" s="7">
        <v>0.1111111111111111</v>
      </c>
      <c r="X3" s="7">
        <v>0.125</v>
      </c>
      <c r="Y3" s="7">
        <v>0.125</v>
      </c>
      <c r="Z3" s="7">
        <v>0.1111111111111111</v>
      </c>
      <c r="AA3" s="7">
        <v>0.125</v>
      </c>
      <c r="AB3" s="7">
        <v>0.125</v>
      </c>
      <c r="AC3" s="7">
        <v>0.14285714285714285</v>
      </c>
      <c r="AD3" s="7">
        <v>0.14285714285714285</v>
      </c>
      <c r="AE3" s="7">
        <v>0.14285714285714285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13"/>
      <c r="AM3" s="6" t="s">
        <v>152</v>
      </c>
      <c r="AN3" s="8">
        <v>4500.0</v>
      </c>
    </row>
    <row r="4">
      <c r="A4" s="4" t="s">
        <v>150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0.14285714285714285</v>
      </c>
      <c r="O4" s="7">
        <v>0.14285714285714285</v>
      </c>
      <c r="P4" s="7">
        <v>0.14285714285714285</v>
      </c>
      <c r="Q4" s="7">
        <v>0.14285714285714285</v>
      </c>
      <c r="R4" s="7">
        <v>0.14285714285714285</v>
      </c>
      <c r="S4" s="7">
        <v>0.14285714285714285</v>
      </c>
      <c r="T4" s="7">
        <v>0.1111111111111111</v>
      </c>
      <c r="U4" s="7">
        <v>0.1111111111111111</v>
      </c>
      <c r="V4" s="7">
        <v>0.1111111111111111</v>
      </c>
      <c r="W4" s="7">
        <v>0.1111111111111111</v>
      </c>
      <c r="X4" s="7">
        <v>0.125</v>
      </c>
      <c r="Y4" s="7">
        <v>0.125</v>
      </c>
      <c r="Z4" s="7">
        <v>0.1111111111111111</v>
      </c>
      <c r="AA4" s="7">
        <v>0.125</v>
      </c>
      <c r="AB4" s="7">
        <v>0.125</v>
      </c>
      <c r="AC4" s="7">
        <v>0.14285714285714285</v>
      </c>
      <c r="AD4" s="7">
        <v>0.14285714285714285</v>
      </c>
      <c r="AE4" s="7">
        <v>0.14285714285714285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13"/>
      <c r="AM4" s="6" t="s">
        <v>150</v>
      </c>
      <c r="AN4" s="8">
        <v>6000.0</v>
      </c>
    </row>
    <row r="5">
      <c r="A5" s="4" t="s">
        <v>151</v>
      </c>
      <c r="B5" s="7">
        <v>0.2222222222222222</v>
      </c>
      <c r="C5" s="7">
        <v>0.2222222222222222</v>
      </c>
      <c r="D5" s="7">
        <v>0.2222222222222222</v>
      </c>
      <c r="E5" s="7">
        <v>0.2222222222222222</v>
      </c>
      <c r="F5" s="7">
        <v>0.2222222222222222</v>
      </c>
      <c r="G5" s="7">
        <v>0.2222222222222222</v>
      </c>
      <c r="H5" s="7">
        <v>0.2222222222222222</v>
      </c>
      <c r="I5" s="7">
        <v>0.2222222222222222</v>
      </c>
      <c r="J5" s="7">
        <v>0.2222222222222222</v>
      </c>
      <c r="K5" s="7">
        <v>0.2222222222222222</v>
      </c>
      <c r="L5" s="7">
        <v>0.2222222222222222</v>
      </c>
      <c r="M5" s="7">
        <v>0.2222222222222222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0.2222222222222222</v>
      </c>
      <c r="AG5" s="7">
        <v>0.2222222222222222</v>
      </c>
      <c r="AH5" s="7">
        <v>0.2222222222222222</v>
      </c>
      <c r="AI5" s="7">
        <v>0.2222222222222222</v>
      </c>
      <c r="AJ5" s="7">
        <v>0.2222222222222222</v>
      </c>
      <c r="AK5" s="7">
        <v>0.2222222222222222</v>
      </c>
      <c r="AL5" s="13"/>
      <c r="AM5" s="6" t="s">
        <v>153</v>
      </c>
      <c r="AN5" s="8">
        <v>7000.0</v>
      </c>
    </row>
    <row r="6">
      <c r="A6" s="4" t="s">
        <v>63</v>
      </c>
      <c r="B6" s="7">
        <v>0.1111111111111111</v>
      </c>
      <c r="C6" s="7">
        <v>0.1111111111111111</v>
      </c>
      <c r="D6" s="7">
        <v>0.1111111111111111</v>
      </c>
      <c r="E6" s="7">
        <v>0.1111111111111111</v>
      </c>
      <c r="F6" s="7">
        <v>0.1111111111111111</v>
      </c>
      <c r="G6" s="7">
        <v>0.1111111111111111</v>
      </c>
      <c r="H6" s="7">
        <v>0.1111111111111111</v>
      </c>
      <c r="I6" s="7">
        <v>0.1111111111111111</v>
      </c>
      <c r="J6" s="7">
        <v>0.1111111111111111</v>
      </c>
      <c r="K6" s="7">
        <v>0.1111111111111111</v>
      </c>
      <c r="L6" s="7">
        <v>0.1111111111111111</v>
      </c>
      <c r="M6" s="7">
        <v>0.1111111111111111</v>
      </c>
      <c r="N6" s="7">
        <v>0.14285714285714285</v>
      </c>
      <c r="O6" s="7">
        <v>0.14285714285714285</v>
      </c>
      <c r="P6" s="7">
        <v>0.14285714285714285</v>
      </c>
      <c r="Q6" s="7">
        <v>0.14285714285714285</v>
      </c>
      <c r="R6" s="7">
        <v>0.14285714285714285</v>
      </c>
      <c r="S6" s="7">
        <v>0.14285714285714285</v>
      </c>
      <c r="T6" s="7">
        <v>0.1111111111111111</v>
      </c>
      <c r="U6" s="7">
        <v>0.1111111111111111</v>
      </c>
      <c r="V6" s="7">
        <v>0.1111111111111111</v>
      </c>
      <c r="W6" s="7">
        <v>0.1111111111111111</v>
      </c>
      <c r="X6" s="7">
        <v>0.125</v>
      </c>
      <c r="Y6" s="7">
        <v>0.125</v>
      </c>
      <c r="Z6" s="7">
        <v>0.1111111111111111</v>
      </c>
      <c r="AA6" s="7">
        <v>0.125</v>
      </c>
      <c r="AB6" s="7">
        <v>0.125</v>
      </c>
      <c r="AC6" s="7">
        <v>0.14285714285714285</v>
      </c>
      <c r="AD6" s="7">
        <v>0.14285714285714285</v>
      </c>
      <c r="AE6" s="7">
        <v>0.14285714285714285</v>
      </c>
      <c r="AF6" s="7">
        <v>0.1111111111111111</v>
      </c>
      <c r="AG6" s="7">
        <v>0.1111111111111111</v>
      </c>
      <c r="AH6" s="7">
        <v>0.1111111111111111</v>
      </c>
      <c r="AI6" s="7">
        <v>0.1111111111111111</v>
      </c>
      <c r="AJ6" s="7">
        <v>0.1111111111111111</v>
      </c>
      <c r="AK6" s="7">
        <v>0.1111111111111111</v>
      </c>
      <c r="AM6" s="4" t="s">
        <v>63</v>
      </c>
      <c r="AN6" s="9">
        <v>10.0</v>
      </c>
    </row>
    <row r="7">
      <c r="A7" s="4" t="s">
        <v>64</v>
      </c>
      <c r="B7" s="7">
        <v>0.1111111111111111</v>
      </c>
      <c r="C7" s="7">
        <v>0.1111111111111111</v>
      </c>
      <c r="D7" s="7">
        <v>0.1111111111111111</v>
      </c>
      <c r="E7" s="7">
        <v>0.1111111111111111</v>
      </c>
      <c r="F7" s="7">
        <v>0.1111111111111111</v>
      </c>
      <c r="G7" s="7">
        <v>0.1111111111111111</v>
      </c>
      <c r="H7" s="7">
        <v>0.1111111111111111</v>
      </c>
      <c r="I7" s="7">
        <v>0.1111111111111111</v>
      </c>
      <c r="J7" s="7">
        <v>0.1111111111111111</v>
      </c>
      <c r="K7" s="7">
        <v>0.1111111111111111</v>
      </c>
      <c r="L7" s="7">
        <v>0.1111111111111111</v>
      </c>
      <c r="M7" s="7">
        <v>0.1111111111111111</v>
      </c>
      <c r="N7" s="7">
        <v>0.14285714285714285</v>
      </c>
      <c r="O7" s="7">
        <v>0.14285714285714285</v>
      </c>
      <c r="P7" s="7">
        <v>0.14285714285714285</v>
      </c>
      <c r="Q7" s="7">
        <v>0.14285714285714285</v>
      </c>
      <c r="R7" s="7">
        <v>0.14285714285714285</v>
      </c>
      <c r="S7" s="7">
        <v>0.14285714285714285</v>
      </c>
      <c r="T7" s="7">
        <v>0.1111111111111111</v>
      </c>
      <c r="U7" s="7">
        <v>0.1111111111111111</v>
      </c>
      <c r="V7" s="7">
        <v>0.1111111111111111</v>
      </c>
      <c r="W7" s="7">
        <v>0.1111111111111111</v>
      </c>
      <c r="X7" s="7">
        <v>0.125</v>
      </c>
      <c r="Y7" s="7">
        <v>0.125</v>
      </c>
      <c r="Z7" s="7">
        <v>0.1111111111111111</v>
      </c>
      <c r="AA7" s="7">
        <v>0.125</v>
      </c>
      <c r="AB7" s="7">
        <v>0.125</v>
      </c>
      <c r="AC7" s="7">
        <v>0.14285714285714285</v>
      </c>
      <c r="AD7" s="7">
        <v>0.14285714285714285</v>
      </c>
      <c r="AE7" s="7">
        <v>0.14285714285714285</v>
      </c>
      <c r="AF7" s="7">
        <v>0.1111111111111111</v>
      </c>
      <c r="AG7" s="7">
        <v>0.1111111111111111</v>
      </c>
      <c r="AH7" s="7">
        <v>0.1111111111111111</v>
      </c>
      <c r="AI7" s="7">
        <v>0.1111111111111111</v>
      </c>
      <c r="AJ7" s="7">
        <v>0.1111111111111111</v>
      </c>
      <c r="AK7" s="7">
        <v>0.1111111111111111</v>
      </c>
      <c r="AM7" s="4" t="s">
        <v>64</v>
      </c>
      <c r="AN7" s="9">
        <v>10.0</v>
      </c>
    </row>
    <row r="8">
      <c r="A8" s="4" t="s">
        <v>65</v>
      </c>
      <c r="B8" s="7">
        <v>0.1111111111111111</v>
      </c>
      <c r="C8" s="7">
        <v>0.1111111111111111</v>
      </c>
      <c r="D8" s="7">
        <v>0.1111111111111111</v>
      </c>
      <c r="E8" s="7">
        <v>0.1111111111111111</v>
      </c>
      <c r="F8" s="7">
        <v>0.1111111111111111</v>
      </c>
      <c r="G8" s="7">
        <v>0.1111111111111111</v>
      </c>
      <c r="H8" s="7">
        <v>0.1111111111111111</v>
      </c>
      <c r="I8" s="7">
        <v>0.1111111111111111</v>
      </c>
      <c r="J8" s="7">
        <v>0.1111111111111111</v>
      </c>
      <c r="K8" s="7">
        <v>0.1111111111111111</v>
      </c>
      <c r="L8" s="7">
        <v>0.1111111111111111</v>
      </c>
      <c r="M8" s="7">
        <v>0.1111111111111111</v>
      </c>
      <c r="N8" s="7">
        <v>0.14285714285714285</v>
      </c>
      <c r="O8" s="7">
        <v>0.14285714285714285</v>
      </c>
      <c r="P8" s="7">
        <v>0.14285714285714285</v>
      </c>
      <c r="Q8" s="7">
        <v>0.14285714285714285</v>
      </c>
      <c r="R8" s="7">
        <v>0.14285714285714285</v>
      </c>
      <c r="S8" s="7">
        <v>0.14285714285714285</v>
      </c>
      <c r="T8" s="7">
        <v>0.1111111111111111</v>
      </c>
      <c r="U8" s="7">
        <v>0.1111111111111111</v>
      </c>
      <c r="V8" s="7">
        <v>0.1111111111111111</v>
      </c>
      <c r="W8" s="7">
        <v>0.1111111111111111</v>
      </c>
      <c r="X8" s="7">
        <v>0.125</v>
      </c>
      <c r="Y8" s="7">
        <v>0.125</v>
      </c>
      <c r="Z8" s="7">
        <v>0.1111111111111111</v>
      </c>
      <c r="AA8" s="7">
        <v>0.125</v>
      </c>
      <c r="AB8" s="7">
        <v>0.125</v>
      </c>
      <c r="AC8" s="7">
        <v>0.14285714285714285</v>
      </c>
      <c r="AD8" s="7">
        <v>0.14285714285714285</v>
      </c>
      <c r="AE8" s="7">
        <v>0.14285714285714285</v>
      </c>
      <c r="AF8" s="7">
        <v>0.1111111111111111</v>
      </c>
      <c r="AG8" s="7">
        <v>0.1111111111111111</v>
      </c>
      <c r="AH8" s="7">
        <v>0.1111111111111111</v>
      </c>
      <c r="AI8" s="7">
        <v>0.1111111111111111</v>
      </c>
      <c r="AJ8" s="7">
        <v>0.1111111111111111</v>
      </c>
      <c r="AK8" s="7">
        <v>0.1111111111111111</v>
      </c>
      <c r="AM8" s="4" t="s">
        <v>65</v>
      </c>
      <c r="AN8" s="9">
        <v>10.0</v>
      </c>
    </row>
    <row r="9">
      <c r="A9" s="4" t="s">
        <v>66</v>
      </c>
      <c r="B9" s="7">
        <v>0.2222222222222222</v>
      </c>
      <c r="C9" s="7">
        <v>0.2222222222222222</v>
      </c>
      <c r="D9" s="7">
        <v>0.2222222222222222</v>
      </c>
      <c r="E9" s="7">
        <v>0.2222222222222222</v>
      </c>
      <c r="F9" s="7">
        <v>0.2222222222222222</v>
      </c>
      <c r="G9" s="7">
        <v>0.2222222222222222</v>
      </c>
      <c r="H9" s="7">
        <v>0.2222222222222222</v>
      </c>
      <c r="I9" s="7">
        <v>0.2222222222222222</v>
      </c>
      <c r="J9" s="7">
        <v>0.2222222222222222</v>
      </c>
      <c r="K9" s="7">
        <v>0.2222222222222222</v>
      </c>
      <c r="L9" s="7">
        <v>0.2222222222222222</v>
      </c>
      <c r="M9" s="7">
        <v>0.2222222222222222</v>
      </c>
      <c r="N9" s="7">
        <v>0.2857142857142857</v>
      </c>
      <c r="O9" s="7">
        <v>0.2857142857142857</v>
      </c>
      <c r="P9" s="7">
        <v>0.2857142857142857</v>
      </c>
      <c r="Q9" s="7">
        <v>0.2857142857142857</v>
      </c>
      <c r="R9" s="7">
        <v>0.2857142857142857</v>
      </c>
      <c r="S9" s="7">
        <v>0.2857142857142857</v>
      </c>
      <c r="T9" s="7">
        <v>0.2222222222222222</v>
      </c>
      <c r="U9" s="7">
        <v>0.2222222222222222</v>
      </c>
      <c r="V9" s="7">
        <v>0.2222222222222222</v>
      </c>
      <c r="W9" s="7">
        <v>0.2222222222222222</v>
      </c>
      <c r="X9" s="7">
        <v>0.25</v>
      </c>
      <c r="Y9" s="7">
        <v>0.25</v>
      </c>
      <c r="Z9" s="7">
        <v>0.2222222222222222</v>
      </c>
      <c r="AA9" s="7">
        <v>0.25</v>
      </c>
      <c r="AB9" s="7">
        <v>0.25</v>
      </c>
      <c r="AC9" s="7">
        <v>0.2857142857142857</v>
      </c>
      <c r="AD9" s="7">
        <v>0.2857142857142857</v>
      </c>
      <c r="AE9" s="7">
        <v>0.2857142857142857</v>
      </c>
      <c r="AF9" s="7">
        <v>0.2222222222222222</v>
      </c>
      <c r="AG9" s="7">
        <v>0.2222222222222222</v>
      </c>
      <c r="AH9" s="7">
        <v>0.2222222222222222</v>
      </c>
      <c r="AI9" s="7">
        <v>0.2222222222222222</v>
      </c>
      <c r="AJ9" s="7">
        <v>0.2222222222222222</v>
      </c>
      <c r="AK9" s="7">
        <v>0.2222222222222222</v>
      </c>
      <c r="AM9" s="4" t="s">
        <v>66</v>
      </c>
      <c r="AN9" s="9">
        <v>10.0</v>
      </c>
    </row>
    <row r="10">
      <c r="B10" s="7" t="s">
        <v>83</v>
      </c>
      <c r="C10" s="7" t="s">
        <v>83</v>
      </c>
      <c r="D10" s="7" t="s">
        <v>83</v>
      </c>
      <c r="E10" s="7" t="s">
        <v>83</v>
      </c>
      <c r="F10" s="7" t="s">
        <v>83</v>
      </c>
      <c r="G10" s="7" t="s">
        <v>83</v>
      </c>
      <c r="H10" s="7" t="s">
        <v>83</v>
      </c>
      <c r="I10" s="7" t="s">
        <v>83</v>
      </c>
      <c r="J10" s="7" t="s">
        <v>83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7" t="s">
        <v>83</v>
      </c>
      <c r="Y10" s="7" t="s">
        <v>83</v>
      </c>
      <c r="Z10" s="7" t="s">
        <v>83</v>
      </c>
      <c r="AA10" s="7" t="s">
        <v>83</v>
      </c>
      <c r="AB10" s="7" t="s">
        <v>83</v>
      </c>
      <c r="AC10" s="7" t="s">
        <v>83</v>
      </c>
      <c r="AD10" s="7" t="s">
        <v>83</v>
      </c>
      <c r="AE10" s="7" t="s">
        <v>83</v>
      </c>
      <c r="AF10" s="7" t="s">
        <v>83</v>
      </c>
      <c r="AG10" s="7" t="s">
        <v>83</v>
      </c>
      <c r="AH10" s="7" t="s">
        <v>83</v>
      </c>
      <c r="AI10" s="7" t="s">
        <v>83</v>
      </c>
      <c r="AJ10" s="7" t="s">
        <v>83</v>
      </c>
      <c r="AK10" s="7" t="s">
        <v>83</v>
      </c>
    </row>
    <row r="11">
      <c r="B11" s="7" t="s">
        <v>83</v>
      </c>
      <c r="C11" s="7" t="s">
        <v>83</v>
      </c>
      <c r="D11" s="7" t="s">
        <v>83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7" t="s">
        <v>83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7" t="s">
        <v>83</v>
      </c>
      <c r="Q11" s="7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7" t="s">
        <v>83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7" t="s">
        <v>83</v>
      </c>
      <c r="AI11" s="7" t="s">
        <v>83</v>
      </c>
      <c r="AJ11" s="7" t="s">
        <v>83</v>
      </c>
      <c r="AK11" s="7" t="s">
        <v>83</v>
      </c>
    </row>
    <row r="12">
      <c r="B12" s="7" t="s">
        <v>83</v>
      </c>
      <c r="C12" s="7" t="s">
        <v>83</v>
      </c>
      <c r="D12" s="7" t="s">
        <v>83</v>
      </c>
      <c r="E12" s="7" t="s">
        <v>83</v>
      </c>
      <c r="F12" s="7" t="s">
        <v>83</v>
      </c>
      <c r="G12" s="7" t="s">
        <v>83</v>
      </c>
      <c r="H12" s="7" t="s">
        <v>83</v>
      </c>
      <c r="I12" s="7" t="s">
        <v>83</v>
      </c>
      <c r="J12" s="7" t="s">
        <v>83</v>
      </c>
      <c r="K12" s="7" t="s">
        <v>83</v>
      </c>
      <c r="L12" s="7" t="s">
        <v>83</v>
      </c>
      <c r="M12" s="7" t="s">
        <v>83</v>
      </c>
      <c r="N12" s="7" t="s">
        <v>83</v>
      </c>
      <c r="O12" s="7" t="s">
        <v>83</v>
      </c>
      <c r="P12" s="7" t="s">
        <v>83</v>
      </c>
      <c r="Q12" s="7" t="s">
        <v>83</v>
      </c>
      <c r="R12" s="7" t="s">
        <v>83</v>
      </c>
      <c r="S12" s="7" t="s">
        <v>83</v>
      </c>
      <c r="T12" s="7" t="s">
        <v>83</v>
      </c>
      <c r="U12" s="7" t="s">
        <v>83</v>
      </c>
      <c r="V12" s="7" t="s">
        <v>83</v>
      </c>
      <c r="W12" s="7" t="s">
        <v>83</v>
      </c>
      <c r="X12" s="7" t="s">
        <v>83</v>
      </c>
      <c r="Y12" s="7" t="s">
        <v>83</v>
      </c>
      <c r="Z12" s="7" t="s">
        <v>83</v>
      </c>
      <c r="AA12" s="7" t="s">
        <v>83</v>
      </c>
      <c r="AB12" s="7" t="s">
        <v>83</v>
      </c>
      <c r="AC12" s="7" t="s">
        <v>83</v>
      </c>
      <c r="AD12" s="7" t="s">
        <v>83</v>
      </c>
      <c r="AE12" s="7" t="s">
        <v>83</v>
      </c>
      <c r="AF12" s="7" t="s">
        <v>83</v>
      </c>
      <c r="AG12" s="7" t="s">
        <v>83</v>
      </c>
      <c r="AH12" s="7" t="s">
        <v>83</v>
      </c>
      <c r="AI12" s="7" t="s">
        <v>83</v>
      </c>
      <c r="AJ12" s="7" t="s">
        <v>83</v>
      </c>
      <c r="AK12" s="7" t="s">
        <v>83</v>
      </c>
    </row>
    <row r="13">
      <c r="B13" s="7" t="s">
        <v>83</v>
      </c>
      <c r="C13" s="7" t="s">
        <v>83</v>
      </c>
      <c r="D13" s="7" t="s">
        <v>83</v>
      </c>
      <c r="E13" s="7" t="s">
        <v>83</v>
      </c>
      <c r="F13" s="7" t="s">
        <v>83</v>
      </c>
      <c r="G13" s="7" t="s">
        <v>83</v>
      </c>
      <c r="H13" s="7" t="s">
        <v>83</v>
      </c>
      <c r="I13" s="7" t="s">
        <v>83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7" t="s">
        <v>83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7" t="s">
        <v>83</v>
      </c>
      <c r="AI13" s="7" t="s">
        <v>83</v>
      </c>
      <c r="AJ13" s="7" t="s">
        <v>83</v>
      </c>
      <c r="AK13" s="7" t="s">
        <v>83</v>
      </c>
    </row>
    <row r="14">
      <c r="B14" s="7" t="s">
        <v>83</v>
      </c>
      <c r="C14" s="7" t="s">
        <v>83</v>
      </c>
      <c r="D14" s="7" t="s">
        <v>83</v>
      </c>
      <c r="E14" s="7" t="s">
        <v>83</v>
      </c>
      <c r="F14" s="7" t="s">
        <v>83</v>
      </c>
      <c r="G14" s="7" t="s">
        <v>83</v>
      </c>
      <c r="H14" s="7" t="s">
        <v>83</v>
      </c>
      <c r="I14" s="7" t="s">
        <v>83</v>
      </c>
      <c r="J14" s="7" t="s">
        <v>83</v>
      </c>
      <c r="K14" s="7" t="s">
        <v>83</v>
      </c>
      <c r="L14" s="7" t="s">
        <v>83</v>
      </c>
      <c r="M14" s="7" t="s">
        <v>83</v>
      </c>
      <c r="N14" s="7" t="s">
        <v>83</v>
      </c>
      <c r="O14" s="7" t="s">
        <v>83</v>
      </c>
      <c r="P14" s="7" t="s">
        <v>83</v>
      </c>
      <c r="Q14" s="7" t="s">
        <v>83</v>
      </c>
      <c r="R14" s="7" t="s">
        <v>83</v>
      </c>
      <c r="S14" s="7" t="s">
        <v>83</v>
      </c>
      <c r="T14" s="7" t="s">
        <v>83</v>
      </c>
      <c r="U14" s="7" t="s">
        <v>83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 t="s">
        <v>83</v>
      </c>
      <c r="AE14" s="7" t="s">
        <v>83</v>
      </c>
      <c r="AF14" s="7" t="s">
        <v>83</v>
      </c>
      <c r="AG14" s="7" t="s">
        <v>83</v>
      </c>
      <c r="AH14" s="7" t="s">
        <v>83</v>
      </c>
      <c r="AI14" s="7" t="s">
        <v>83</v>
      </c>
      <c r="AJ14" s="7" t="s">
        <v>83</v>
      </c>
      <c r="AK14" s="7" t="s">
        <v>83</v>
      </c>
    </row>
    <row r="15">
      <c r="B15" s="7" t="s">
        <v>83</v>
      </c>
      <c r="C15" s="7" t="s">
        <v>83</v>
      </c>
      <c r="D15" s="7" t="s">
        <v>83</v>
      </c>
      <c r="E15" s="7" t="s">
        <v>83</v>
      </c>
      <c r="F15" s="7" t="s">
        <v>83</v>
      </c>
      <c r="G15" s="7" t="s">
        <v>83</v>
      </c>
      <c r="H15" s="7" t="s">
        <v>83</v>
      </c>
      <c r="I15" s="7" t="s">
        <v>83</v>
      </c>
      <c r="J15" s="7" t="s">
        <v>83</v>
      </c>
      <c r="K15" s="7" t="s">
        <v>83</v>
      </c>
      <c r="L15" s="7" t="s">
        <v>83</v>
      </c>
      <c r="M15" s="7" t="s">
        <v>83</v>
      </c>
      <c r="N15" s="7" t="s">
        <v>83</v>
      </c>
      <c r="O15" s="7" t="s">
        <v>83</v>
      </c>
      <c r="P15" s="7" t="s">
        <v>83</v>
      </c>
      <c r="Q15" s="7" t="s">
        <v>83</v>
      </c>
      <c r="R15" s="7" t="s">
        <v>83</v>
      </c>
      <c r="S15" s="7" t="s">
        <v>83</v>
      </c>
      <c r="T15" s="7" t="s">
        <v>83</v>
      </c>
      <c r="U15" s="7" t="s">
        <v>83</v>
      </c>
      <c r="V15" s="7" t="s">
        <v>83</v>
      </c>
      <c r="W15" s="7" t="s">
        <v>83</v>
      </c>
      <c r="X15" s="7" t="s">
        <v>83</v>
      </c>
      <c r="Y15" s="7" t="s">
        <v>83</v>
      </c>
      <c r="Z15" s="7" t="s">
        <v>83</v>
      </c>
      <c r="AA15" s="7" t="s">
        <v>83</v>
      </c>
      <c r="AB15" s="7" t="s">
        <v>83</v>
      </c>
      <c r="AC15" s="7" t="s">
        <v>83</v>
      </c>
      <c r="AD15" s="7" t="s">
        <v>83</v>
      </c>
      <c r="AE15" s="7" t="s">
        <v>83</v>
      </c>
      <c r="AF15" s="7" t="s">
        <v>83</v>
      </c>
      <c r="AG15" s="7" t="s">
        <v>83</v>
      </c>
      <c r="AH15" s="7" t="s">
        <v>83</v>
      </c>
      <c r="AI15" s="7" t="s">
        <v>83</v>
      </c>
      <c r="AJ15" s="7" t="s">
        <v>83</v>
      </c>
      <c r="AK15" s="7" t="s">
        <v>83</v>
      </c>
    </row>
    <row r="16">
      <c r="B16" s="7" t="s">
        <v>83</v>
      </c>
      <c r="C16" s="7" t="s">
        <v>83</v>
      </c>
      <c r="D16" s="7" t="s">
        <v>83</v>
      </c>
      <c r="E16" s="7" t="s">
        <v>83</v>
      </c>
      <c r="F16" s="7" t="s">
        <v>83</v>
      </c>
      <c r="G16" s="7" t="s">
        <v>83</v>
      </c>
      <c r="H16" s="7" t="s">
        <v>83</v>
      </c>
      <c r="I16" s="7" t="s">
        <v>83</v>
      </c>
      <c r="J16" s="7" t="s">
        <v>83</v>
      </c>
      <c r="K16" s="7" t="s">
        <v>83</v>
      </c>
      <c r="L16" s="7" t="s">
        <v>83</v>
      </c>
      <c r="M16" s="7" t="s">
        <v>83</v>
      </c>
      <c r="N16" s="7" t="s">
        <v>83</v>
      </c>
      <c r="O16" s="7" t="s">
        <v>83</v>
      </c>
      <c r="P16" s="7" t="s">
        <v>83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83</v>
      </c>
      <c r="Y16" s="7" t="s">
        <v>83</v>
      </c>
      <c r="Z16" s="7" t="s">
        <v>83</v>
      </c>
      <c r="AA16" s="7" t="s">
        <v>83</v>
      </c>
      <c r="AB16" s="7" t="s">
        <v>83</v>
      </c>
      <c r="AC16" s="7" t="s">
        <v>83</v>
      </c>
      <c r="AD16" s="7" t="s">
        <v>83</v>
      </c>
      <c r="AE16" s="7" t="s">
        <v>83</v>
      </c>
      <c r="AF16" s="7" t="s">
        <v>83</v>
      </c>
      <c r="AG16" s="7" t="s">
        <v>83</v>
      </c>
      <c r="AH16" s="7" t="s">
        <v>83</v>
      </c>
      <c r="AI16" s="7" t="s">
        <v>83</v>
      </c>
      <c r="AJ16" s="7" t="s">
        <v>83</v>
      </c>
      <c r="AK16" s="7" t="s">
        <v>83</v>
      </c>
    </row>
    <row r="17">
      <c r="B17" s="7" t="s">
        <v>83</v>
      </c>
      <c r="C17" s="7" t="s">
        <v>83</v>
      </c>
      <c r="D17" s="7" t="s">
        <v>83</v>
      </c>
      <c r="E17" s="7" t="s">
        <v>83</v>
      </c>
      <c r="F17" s="7" t="s">
        <v>83</v>
      </c>
      <c r="G17" s="7" t="s">
        <v>83</v>
      </c>
      <c r="H17" s="7" t="s">
        <v>83</v>
      </c>
      <c r="I17" s="7" t="s">
        <v>83</v>
      </c>
      <c r="J17" s="7" t="s">
        <v>83</v>
      </c>
      <c r="K17" s="7" t="s">
        <v>83</v>
      </c>
      <c r="L17" s="7" t="s">
        <v>83</v>
      </c>
      <c r="M17" s="7" t="s">
        <v>83</v>
      </c>
      <c r="N17" s="7" t="s">
        <v>83</v>
      </c>
      <c r="O17" s="7" t="s">
        <v>83</v>
      </c>
      <c r="P17" s="7" t="s">
        <v>83</v>
      </c>
      <c r="Q17" s="7" t="s">
        <v>83</v>
      </c>
      <c r="R17" s="7" t="s">
        <v>83</v>
      </c>
      <c r="S17" s="7" t="s">
        <v>83</v>
      </c>
      <c r="T17" s="7" t="s">
        <v>83</v>
      </c>
      <c r="U17" s="7" t="s">
        <v>83</v>
      </c>
      <c r="V17" s="7" t="s">
        <v>83</v>
      </c>
      <c r="W17" s="7" t="s">
        <v>83</v>
      </c>
      <c r="X17" s="7" t="s">
        <v>83</v>
      </c>
      <c r="Y17" s="7" t="s">
        <v>83</v>
      </c>
      <c r="Z17" s="7" t="s">
        <v>83</v>
      </c>
      <c r="AA17" s="7" t="s">
        <v>83</v>
      </c>
      <c r="AB17" s="7" t="s">
        <v>83</v>
      </c>
      <c r="AC17" s="7" t="s">
        <v>83</v>
      </c>
      <c r="AD17" s="7" t="s">
        <v>83</v>
      </c>
      <c r="AE17" s="7" t="s">
        <v>83</v>
      </c>
      <c r="AF17" s="7" t="s">
        <v>83</v>
      </c>
      <c r="AG17" s="7" t="s">
        <v>83</v>
      </c>
      <c r="AH17" s="7" t="s">
        <v>83</v>
      </c>
      <c r="AI17" s="7" t="s">
        <v>83</v>
      </c>
      <c r="AJ17" s="7" t="s">
        <v>83</v>
      </c>
      <c r="AK17" s="7" t="s">
        <v>83</v>
      </c>
    </row>
    <row r="18">
      <c r="B18" s="7" t="s">
        <v>83</v>
      </c>
      <c r="C18" s="7" t="s">
        <v>83</v>
      </c>
      <c r="D18" s="7" t="s">
        <v>83</v>
      </c>
      <c r="E18" s="7" t="s">
        <v>83</v>
      </c>
      <c r="F18" s="7" t="s">
        <v>83</v>
      </c>
      <c r="G18" s="7" t="s">
        <v>83</v>
      </c>
      <c r="H18" s="7" t="s">
        <v>83</v>
      </c>
      <c r="I18" s="7" t="s">
        <v>83</v>
      </c>
      <c r="J18" s="7" t="s">
        <v>83</v>
      </c>
      <c r="K18" s="7" t="s">
        <v>83</v>
      </c>
      <c r="L18" s="7" t="s">
        <v>83</v>
      </c>
      <c r="M18" s="7" t="s">
        <v>83</v>
      </c>
      <c r="N18" s="7" t="s">
        <v>83</v>
      </c>
      <c r="O18" s="7" t="s">
        <v>83</v>
      </c>
      <c r="P18" s="7" t="s">
        <v>83</v>
      </c>
      <c r="Q18" s="7" t="s">
        <v>83</v>
      </c>
      <c r="R18" s="7" t="s">
        <v>83</v>
      </c>
      <c r="S18" s="7" t="s">
        <v>83</v>
      </c>
      <c r="T18" s="7" t="s">
        <v>83</v>
      </c>
      <c r="U18" s="7" t="s">
        <v>83</v>
      </c>
      <c r="V18" s="7" t="s">
        <v>83</v>
      </c>
      <c r="W18" s="7" t="s">
        <v>83</v>
      </c>
      <c r="X18" s="7" t="s">
        <v>83</v>
      </c>
      <c r="Y18" s="7" t="s">
        <v>83</v>
      </c>
      <c r="Z18" s="7" t="s">
        <v>83</v>
      </c>
      <c r="AA18" s="7" t="s">
        <v>83</v>
      </c>
      <c r="AB18" s="7" t="s">
        <v>83</v>
      </c>
      <c r="AC18" s="7" t="s">
        <v>83</v>
      </c>
      <c r="AD18" s="7" t="s">
        <v>83</v>
      </c>
      <c r="AE18" s="7" t="s">
        <v>83</v>
      </c>
      <c r="AF18" s="7" t="s">
        <v>83</v>
      </c>
      <c r="AG18" s="7" t="s">
        <v>83</v>
      </c>
      <c r="AH18" s="7" t="s">
        <v>83</v>
      </c>
      <c r="AI18" s="7" t="s">
        <v>83</v>
      </c>
      <c r="AJ18" s="7" t="s">
        <v>83</v>
      </c>
      <c r="AK18" s="7" t="s">
        <v>83</v>
      </c>
    </row>
    <row r="19">
      <c r="B19" s="7" t="s">
        <v>83</v>
      </c>
      <c r="C19" s="7" t="s">
        <v>83</v>
      </c>
      <c r="D19" s="7" t="s">
        <v>83</v>
      </c>
      <c r="E19" s="7" t="s">
        <v>83</v>
      </c>
      <c r="F19" s="7" t="s">
        <v>83</v>
      </c>
      <c r="G19" s="7" t="s">
        <v>83</v>
      </c>
      <c r="H19" s="7" t="s">
        <v>83</v>
      </c>
      <c r="I19" s="7" t="s">
        <v>83</v>
      </c>
      <c r="J19" s="7" t="s">
        <v>83</v>
      </c>
      <c r="K19" s="7" t="s">
        <v>83</v>
      </c>
      <c r="L19" s="7" t="s">
        <v>83</v>
      </c>
      <c r="M19" s="7" t="s">
        <v>83</v>
      </c>
      <c r="N19" s="7" t="s">
        <v>83</v>
      </c>
      <c r="O19" s="7" t="s">
        <v>83</v>
      </c>
      <c r="P19" s="7" t="s">
        <v>83</v>
      </c>
      <c r="Q19" s="7" t="s">
        <v>83</v>
      </c>
      <c r="R19" s="7" t="s">
        <v>83</v>
      </c>
      <c r="S19" s="7" t="s">
        <v>83</v>
      </c>
      <c r="T19" s="7" t="s">
        <v>83</v>
      </c>
      <c r="U19" s="7" t="s">
        <v>83</v>
      </c>
      <c r="V19" s="7" t="s">
        <v>83</v>
      </c>
      <c r="W19" s="7" t="s">
        <v>83</v>
      </c>
      <c r="X19" s="7" t="s">
        <v>83</v>
      </c>
      <c r="Y19" s="7" t="s">
        <v>83</v>
      </c>
      <c r="Z19" s="7" t="s">
        <v>83</v>
      </c>
      <c r="AA19" s="7" t="s">
        <v>83</v>
      </c>
      <c r="AB19" s="7" t="s">
        <v>83</v>
      </c>
      <c r="AC19" s="7" t="s">
        <v>83</v>
      </c>
      <c r="AD19" s="7" t="s">
        <v>83</v>
      </c>
      <c r="AE19" s="7" t="s">
        <v>83</v>
      </c>
      <c r="AF19" s="7" t="s">
        <v>83</v>
      </c>
      <c r="AG19" s="7" t="s">
        <v>83</v>
      </c>
      <c r="AH19" s="7" t="s">
        <v>83</v>
      </c>
      <c r="AI19" s="7" t="s">
        <v>83</v>
      </c>
      <c r="AJ19" s="7" t="s">
        <v>83</v>
      </c>
      <c r="AK19" s="7" t="s">
        <v>83</v>
      </c>
    </row>
    <row r="20">
      <c r="B20" s="7" t="s">
        <v>83</v>
      </c>
      <c r="C20" s="7" t="s">
        <v>83</v>
      </c>
      <c r="D20" s="7" t="s">
        <v>83</v>
      </c>
      <c r="E20" s="7" t="s">
        <v>83</v>
      </c>
      <c r="F20" s="7" t="s">
        <v>83</v>
      </c>
      <c r="G20" s="7" t="s">
        <v>83</v>
      </c>
      <c r="H20" s="7" t="s">
        <v>83</v>
      </c>
      <c r="I20" s="7" t="s">
        <v>83</v>
      </c>
      <c r="J20" s="7" t="s">
        <v>83</v>
      </c>
      <c r="K20" s="7" t="s">
        <v>83</v>
      </c>
      <c r="L20" s="7" t="s">
        <v>83</v>
      </c>
      <c r="M20" s="7" t="s">
        <v>83</v>
      </c>
      <c r="N20" s="7" t="s">
        <v>83</v>
      </c>
      <c r="O20" s="7" t="s">
        <v>83</v>
      </c>
      <c r="P20" s="7" t="s">
        <v>83</v>
      </c>
      <c r="Q20" s="7" t="s">
        <v>83</v>
      </c>
      <c r="R20" s="7" t="s">
        <v>83</v>
      </c>
      <c r="S20" s="7" t="s">
        <v>83</v>
      </c>
      <c r="T20" s="7" t="s">
        <v>83</v>
      </c>
      <c r="U20" s="7" t="s">
        <v>83</v>
      </c>
      <c r="V20" s="7" t="s">
        <v>83</v>
      </c>
      <c r="W20" s="7" t="s">
        <v>83</v>
      </c>
      <c r="X20" s="7" t="s">
        <v>83</v>
      </c>
      <c r="Y20" s="7" t="s">
        <v>83</v>
      </c>
      <c r="Z20" s="7" t="s">
        <v>83</v>
      </c>
      <c r="AA20" s="7" t="s">
        <v>83</v>
      </c>
      <c r="AB20" s="7" t="s">
        <v>83</v>
      </c>
      <c r="AC20" s="7" t="s">
        <v>83</v>
      </c>
      <c r="AD20" s="7" t="s">
        <v>83</v>
      </c>
      <c r="AE20" s="7" t="s">
        <v>83</v>
      </c>
      <c r="AF20" s="7" t="s">
        <v>83</v>
      </c>
      <c r="AG20" s="7" t="s">
        <v>83</v>
      </c>
      <c r="AH20" s="7" t="s">
        <v>83</v>
      </c>
      <c r="AI20" s="7" t="s">
        <v>83</v>
      </c>
      <c r="AJ20" s="7" t="s">
        <v>83</v>
      </c>
      <c r="AK20" s="7" t="s">
        <v>83</v>
      </c>
    </row>
    <row r="21">
      <c r="B21" s="7" t="s">
        <v>83</v>
      </c>
      <c r="C21" s="7" t="s">
        <v>83</v>
      </c>
      <c r="D21" s="7" t="s">
        <v>83</v>
      </c>
      <c r="E21" s="7" t="s">
        <v>83</v>
      </c>
      <c r="F21" s="7" t="s">
        <v>83</v>
      </c>
      <c r="G21" s="7" t="s">
        <v>83</v>
      </c>
      <c r="H21" s="7" t="s">
        <v>83</v>
      </c>
      <c r="I21" s="7" t="s">
        <v>83</v>
      </c>
      <c r="J21" s="7" t="s">
        <v>83</v>
      </c>
      <c r="K21" s="7" t="s">
        <v>83</v>
      </c>
      <c r="L21" s="7" t="s">
        <v>83</v>
      </c>
      <c r="M21" s="7" t="s">
        <v>83</v>
      </c>
      <c r="N21" s="7" t="s">
        <v>83</v>
      </c>
      <c r="O21" s="7" t="s">
        <v>83</v>
      </c>
      <c r="P21" s="7" t="s">
        <v>83</v>
      </c>
      <c r="Q21" s="7" t="s">
        <v>83</v>
      </c>
      <c r="R21" s="7" t="s">
        <v>83</v>
      </c>
      <c r="S21" s="7" t="s">
        <v>83</v>
      </c>
      <c r="T21" s="7" t="s">
        <v>83</v>
      </c>
      <c r="U21" s="7" t="s">
        <v>83</v>
      </c>
      <c r="V21" s="7" t="s">
        <v>83</v>
      </c>
      <c r="W21" s="7" t="s">
        <v>83</v>
      </c>
      <c r="X21" s="7" t="s">
        <v>83</v>
      </c>
      <c r="Y21" s="7" t="s">
        <v>83</v>
      </c>
      <c r="Z21" s="7" t="s">
        <v>83</v>
      </c>
      <c r="AA21" s="7" t="s">
        <v>83</v>
      </c>
      <c r="AB21" s="7" t="s">
        <v>83</v>
      </c>
      <c r="AC21" s="7" t="s">
        <v>83</v>
      </c>
      <c r="AD21" s="7" t="s">
        <v>83</v>
      </c>
      <c r="AE21" s="7" t="s">
        <v>83</v>
      </c>
      <c r="AF21" s="7" t="s">
        <v>83</v>
      </c>
      <c r="AG21" s="7" t="s">
        <v>83</v>
      </c>
      <c r="AH21" s="7" t="s">
        <v>83</v>
      </c>
      <c r="AI21" s="7" t="s">
        <v>83</v>
      </c>
      <c r="AJ21" s="7" t="s">
        <v>83</v>
      </c>
      <c r="AK21" s="7" t="s">
        <v>83</v>
      </c>
    </row>
    <row r="22">
      <c r="B22" s="7" t="s">
        <v>83</v>
      </c>
      <c r="C22" s="7" t="s">
        <v>83</v>
      </c>
      <c r="D22" s="7" t="s">
        <v>83</v>
      </c>
      <c r="E22" s="7" t="s">
        <v>83</v>
      </c>
      <c r="F22" s="7" t="s">
        <v>83</v>
      </c>
      <c r="G22" s="7" t="s">
        <v>83</v>
      </c>
      <c r="H22" s="7" t="s">
        <v>83</v>
      </c>
      <c r="I22" s="7" t="s">
        <v>83</v>
      </c>
      <c r="J22" s="7" t="s">
        <v>83</v>
      </c>
      <c r="K22" s="7" t="s">
        <v>83</v>
      </c>
      <c r="L22" s="7" t="s">
        <v>83</v>
      </c>
      <c r="M22" s="7" t="s">
        <v>83</v>
      </c>
      <c r="N22" s="7" t="s">
        <v>83</v>
      </c>
      <c r="O22" s="7" t="s">
        <v>83</v>
      </c>
      <c r="P22" s="7" t="s">
        <v>83</v>
      </c>
      <c r="Q22" s="7" t="s">
        <v>83</v>
      </c>
      <c r="R22" s="7" t="s">
        <v>83</v>
      </c>
      <c r="S22" s="7" t="s">
        <v>83</v>
      </c>
      <c r="T22" s="7" t="s">
        <v>83</v>
      </c>
      <c r="U22" s="7" t="s">
        <v>83</v>
      </c>
      <c r="V22" s="7" t="s">
        <v>83</v>
      </c>
      <c r="W22" s="7" t="s">
        <v>83</v>
      </c>
      <c r="X22" s="7" t="s">
        <v>83</v>
      </c>
      <c r="Y22" s="7" t="s">
        <v>83</v>
      </c>
      <c r="Z22" s="7" t="s">
        <v>83</v>
      </c>
      <c r="AA22" s="7" t="s">
        <v>83</v>
      </c>
      <c r="AB22" s="7" t="s">
        <v>83</v>
      </c>
      <c r="AC22" s="7" t="s">
        <v>83</v>
      </c>
      <c r="AD22" s="7" t="s">
        <v>83</v>
      </c>
      <c r="AE22" s="7" t="s">
        <v>83</v>
      </c>
      <c r="AF22" s="7" t="s">
        <v>83</v>
      </c>
      <c r="AG22" s="7" t="s">
        <v>83</v>
      </c>
      <c r="AH22" s="7" t="s">
        <v>83</v>
      </c>
      <c r="AI22" s="7" t="s">
        <v>83</v>
      </c>
      <c r="AJ22" s="7" t="s">
        <v>83</v>
      </c>
      <c r="AK22" s="7" t="s">
        <v>83</v>
      </c>
    </row>
    <row r="23">
      <c r="B23" s="7" t="s">
        <v>83</v>
      </c>
      <c r="C23" s="7" t="s">
        <v>83</v>
      </c>
      <c r="D23" s="7" t="s">
        <v>83</v>
      </c>
      <c r="E23" s="7" t="s">
        <v>83</v>
      </c>
      <c r="F23" s="7" t="s">
        <v>83</v>
      </c>
      <c r="G23" s="7" t="s">
        <v>83</v>
      </c>
      <c r="H23" s="7" t="s">
        <v>83</v>
      </c>
      <c r="I23" s="7" t="s">
        <v>83</v>
      </c>
      <c r="J23" s="7" t="s">
        <v>83</v>
      </c>
      <c r="K23" s="7" t="s">
        <v>83</v>
      </c>
      <c r="L23" s="7" t="s">
        <v>83</v>
      </c>
      <c r="M23" s="7" t="s">
        <v>83</v>
      </c>
      <c r="N23" s="7" t="s">
        <v>83</v>
      </c>
      <c r="O23" s="7" t="s">
        <v>83</v>
      </c>
      <c r="P23" s="7" t="s">
        <v>83</v>
      </c>
      <c r="Q23" s="7" t="s">
        <v>83</v>
      </c>
      <c r="R23" s="7" t="s">
        <v>83</v>
      </c>
      <c r="S23" s="7" t="s">
        <v>83</v>
      </c>
      <c r="T23" s="7" t="s">
        <v>83</v>
      </c>
      <c r="U23" s="7" t="s">
        <v>83</v>
      </c>
      <c r="V23" s="7" t="s">
        <v>83</v>
      </c>
      <c r="W23" s="7" t="s">
        <v>83</v>
      </c>
      <c r="X23" s="7" t="s">
        <v>83</v>
      </c>
      <c r="Y23" s="7" t="s">
        <v>83</v>
      </c>
      <c r="Z23" s="7" t="s">
        <v>83</v>
      </c>
      <c r="AA23" s="7" t="s">
        <v>83</v>
      </c>
      <c r="AB23" s="7" t="s">
        <v>83</v>
      </c>
      <c r="AC23" s="7" t="s">
        <v>83</v>
      </c>
      <c r="AD23" s="7" t="s">
        <v>83</v>
      </c>
      <c r="AE23" s="7" t="s">
        <v>83</v>
      </c>
      <c r="AF23" s="7" t="s">
        <v>83</v>
      </c>
      <c r="AG23" s="7" t="s">
        <v>83</v>
      </c>
      <c r="AH23" s="7" t="s">
        <v>83</v>
      </c>
      <c r="AI23" s="7" t="s">
        <v>83</v>
      </c>
      <c r="AJ23" s="7" t="s">
        <v>83</v>
      </c>
      <c r="AK23" s="7" t="s">
        <v>83</v>
      </c>
    </row>
    <row r="24">
      <c r="B24" s="7" t="s">
        <v>83</v>
      </c>
      <c r="C24" s="7" t="s">
        <v>83</v>
      </c>
      <c r="D24" s="7" t="s">
        <v>83</v>
      </c>
      <c r="E24" s="7" t="s">
        <v>83</v>
      </c>
      <c r="F24" s="7" t="s">
        <v>83</v>
      </c>
      <c r="G24" s="7" t="s">
        <v>83</v>
      </c>
      <c r="H24" s="7" t="s">
        <v>83</v>
      </c>
      <c r="I24" s="7" t="s">
        <v>83</v>
      </c>
      <c r="J24" s="7" t="s">
        <v>83</v>
      </c>
      <c r="K24" s="7" t="s">
        <v>83</v>
      </c>
      <c r="L24" s="7" t="s">
        <v>83</v>
      </c>
      <c r="M24" s="7" t="s">
        <v>83</v>
      </c>
      <c r="N24" s="7" t="s">
        <v>83</v>
      </c>
      <c r="O24" s="7" t="s">
        <v>83</v>
      </c>
      <c r="P24" s="7" t="s">
        <v>83</v>
      </c>
      <c r="Q24" s="7" t="s">
        <v>83</v>
      </c>
      <c r="R24" s="7" t="s">
        <v>83</v>
      </c>
      <c r="S24" s="7" t="s">
        <v>83</v>
      </c>
      <c r="T24" s="7" t="s">
        <v>83</v>
      </c>
      <c r="U24" s="7" t="s">
        <v>83</v>
      </c>
      <c r="V24" s="7" t="s">
        <v>83</v>
      </c>
      <c r="W24" s="7" t="s">
        <v>83</v>
      </c>
      <c r="X24" s="7" t="s">
        <v>83</v>
      </c>
      <c r="Y24" s="7" t="s">
        <v>83</v>
      </c>
      <c r="Z24" s="7" t="s">
        <v>83</v>
      </c>
      <c r="AA24" s="7" t="s">
        <v>83</v>
      </c>
      <c r="AB24" s="7" t="s">
        <v>83</v>
      </c>
      <c r="AC24" s="7" t="s">
        <v>83</v>
      </c>
      <c r="AD24" s="7" t="s">
        <v>83</v>
      </c>
      <c r="AE24" s="7" t="s">
        <v>83</v>
      </c>
      <c r="AF24" s="7" t="s">
        <v>83</v>
      </c>
      <c r="AG24" s="7" t="s">
        <v>83</v>
      </c>
      <c r="AH24" s="7" t="s">
        <v>83</v>
      </c>
      <c r="AI24" s="7" t="s">
        <v>83</v>
      </c>
      <c r="AJ24" s="7" t="s">
        <v>83</v>
      </c>
      <c r="AK24" s="7" t="s">
        <v>83</v>
      </c>
    </row>
    <row r="25">
      <c r="B25" s="7" t="s">
        <v>83</v>
      </c>
      <c r="C25" s="7" t="s">
        <v>83</v>
      </c>
      <c r="D25" s="7" t="s">
        <v>83</v>
      </c>
      <c r="E25" s="7" t="s">
        <v>83</v>
      </c>
      <c r="F25" s="7" t="s">
        <v>83</v>
      </c>
      <c r="G25" s="7" t="s">
        <v>83</v>
      </c>
      <c r="H25" s="7" t="s">
        <v>83</v>
      </c>
      <c r="I25" s="7" t="s">
        <v>83</v>
      </c>
      <c r="J25" s="7" t="s">
        <v>83</v>
      </c>
      <c r="K25" s="7" t="s">
        <v>83</v>
      </c>
      <c r="L25" s="7" t="s">
        <v>83</v>
      </c>
      <c r="M25" s="7" t="s">
        <v>83</v>
      </c>
      <c r="N25" s="7" t="s">
        <v>83</v>
      </c>
      <c r="O25" s="7" t="s">
        <v>83</v>
      </c>
      <c r="P25" s="7" t="s">
        <v>83</v>
      </c>
      <c r="Q25" s="7" t="s">
        <v>83</v>
      </c>
      <c r="R25" s="7" t="s">
        <v>83</v>
      </c>
      <c r="S25" s="7" t="s">
        <v>83</v>
      </c>
      <c r="T25" s="7" t="s">
        <v>83</v>
      </c>
      <c r="U25" s="7" t="s">
        <v>83</v>
      </c>
      <c r="V25" s="7" t="s">
        <v>83</v>
      </c>
      <c r="W25" s="7" t="s">
        <v>83</v>
      </c>
      <c r="X25" s="7" t="s">
        <v>83</v>
      </c>
      <c r="Y25" s="7" t="s">
        <v>83</v>
      </c>
      <c r="Z25" s="7" t="s">
        <v>83</v>
      </c>
      <c r="AA25" s="7" t="s">
        <v>83</v>
      </c>
      <c r="AB25" s="7" t="s">
        <v>83</v>
      </c>
      <c r="AC25" s="7" t="s">
        <v>83</v>
      </c>
      <c r="AD25" s="7" t="s">
        <v>83</v>
      </c>
      <c r="AE25" s="7" t="s">
        <v>83</v>
      </c>
      <c r="AF25" s="7" t="s">
        <v>83</v>
      </c>
      <c r="AG25" s="7" t="s">
        <v>83</v>
      </c>
      <c r="AH25" s="7" t="s">
        <v>83</v>
      </c>
      <c r="AI25" s="7" t="s">
        <v>83</v>
      </c>
      <c r="AJ25" s="7" t="s">
        <v>83</v>
      </c>
      <c r="AK25" s="7" t="s">
        <v>83</v>
      </c>
    </row>
    <row r="26">
      <c r="B26" s="7" t="s">
        <v>83</v>
      </c>
      <c r="C26" s="7" t="s">
        <v>83</v>
      </c>
      <c r="D26" s="7" t="s">
        <v>83</v>
      </c>
      <c r="E26" s="7" t="s">
        <v>83</v>
      </c>
      <c r="F26" s="7" t="s">
        <v>83</v>
      </c>
      <c r="G26" s="7" t="s">
        <v>83</v>
      </c>
      <c r="H26" s="7" t="s">
        <v>83</v>
      </c>
      <c r="I26" s="7" t="s">
        <v>83</v>
      </c>
      <c r="J26" s="7" t="s">
        <v>83</v>
      </c>
      <c r="K26" s="7" t="s">
        <v>83</v>
      </c>
      <c r="L26" s="7" t="s">
        <v>83</v>
      </c>
      <c r="M26" s="7" t="s">
        <v>83</v>
      </c>
      <c r="N26" s="7" t="s">
        <v>83</v>
      </c>
      <c r="O26" s="7" t="s">
        <v>83</v>
      </c>
      <c r="P26" s="7" t="s">
        <v>83</v>
      </c>
      <c r="Q26" s="7" t="s">
        <v>83</v>
      </c>
      <c r="R26" s="7" t="s">
        <v>83</v>
      </c>
      <c r="S26" s="7" t="s">
        <v>83</v>
      </c>
      <c r="T26" s="7" t="s">
        <v>83</v>
      </c>
      <c r="U26" s="7" t="s">
        <v>83</v>
      </c>
      <c r="V26" s="7" t="s">
        <v>83</v>
      </c>
      <c r="W26" s="7" t="s">
        <v>83</v>
      </c>
      <c r="X26" s="7" t="s">
        <v>83</v>
      </c>
      <c r="Y26" s="7" t="s">
        <v>83</v>
      </c>
      <c r="Z26" s="7" t="s">
        <v>83</v>
      </c>
      <c r="AA26" s="7" t="s">
        <v>83</v>
      </c>
      <c r="AB26" s="7" t="s">
        <v>83</v>
      </c>
      <c r="AC26" s="7" t="s">
        <v>83</v>
      </c>
      <c r="AD26" s="7" t="s">
        <v>83</v>
      </c>
      <c r="AE26" s="7" t="s">
        <v>83</v>
      </c>
      <c r="AF26" s="7" t="s">
        <v>83</v>
      </c>
      <c r="AG26" s="7" t="s">
        <v>83</v>
      </c>
      <c r="AH26" s="7" t="s">
        <v>83</v>
      </c>
      <c r="AI26" s="7" t="s">
        <v>83</v>
      </c>
      <c r="AJ26" s="7" t="s">
        <v>83</v>
      </c>
      <c r="AK26" s="7" t="s">
        <v>83</v>
      </c>
    </row>
    <row r="27">
      <c r="B27" s="7" t="s">
        <v>83</v>
      </c>
      <c r="C27" s="7" t="s">
        <v>83</v>
      </c>
      <c r="D27" s="7" t="s">
        <v>83</v>
      </c>
      <c r="E27" s="7" t="s">
        <v>83</v>
      </c>
      <c r="F27" s="7" t="s">
        <v>83</v>
      </c>
      <c r="G27" s="7" t="s">
        <v>83</v>
      </c>
      <c r="H27" s="7" t="s">
        <v>83</v>
      </c>
      <c r="I27" s="7" t="s">
        <v>83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83</v>
      </c>
      <c r="Q27" s="7" t="s">
        <v>83</v>
      </c>
      <c r="R27" s="7" t="s">
        <v>83</v>
      </c>
      <c r="S27" s="7" t="s">
        <v>83</v>
      </c>
      <c r="T27" s="7" t="s">
        <v>83</v>
      </c>
      <c r="U27" s="7" t="s">
        <v>83</v>
      </c>
      <c r="V27" s="7" t="s">
        <v>83</v>
      </c>
      <c r="W27" s="7" t="s">
        <v>83</v>
      </c>
      <c r="X27" s="7" t="s">
        <v>83</v>
      </c>
      <c r="Y27" s="7" t="s">
        <v>83</v>
      </c>
      <c r="Z27" s="7" t="s">
        <v>83</v>
      </c>
      <c r="AA27" s="7" t="s">
        <v>83</v>
      </c>
      <c r="AB27" s="7" t="s">
        <v>83</v>
      </c>
      <c r="AC27" s="7" t="s">
        <v>83</v>
      </c>
      <c r="AD27" s="7" t="s">
        <v>83</v>
      </c>
      <c r="AE27" s="7" t="s">
        <v>83</v>
      </c>
      <c r="AF27" s="7" t="s">
        <v>83</v>
      </c>
      <c r="AG27" s="7" t="s">
        <v>83</v>
      </c>
      <c r="AH27" s="7" t="s">
        <v>83</v>
      </c>
      <c r="AI27" s="7" t="s">
        <v>83</v>
      </c>
      <c r="AJ27" s="7" t="s">
        <v>83</v>
      </c>
      <c r="AK27" s="7" t="s">
        <v>83</v>
      </c>
    </row>
    <row r="28">
      <c r="B28" s="7" t="s">
        <v>83</v>
      </c>
      <c r="C28" s="7" t="s">
        <v>83</v>
      </c>
      <c r="D28" s="7" t="s">
        <v>83</v>
      </c>
      <c r="E28" s="7" t="s">
        <v>83</v>
      </c>
      <c r="F28" s="7" t="s">
        <v>83</v>
      </c>
      <c r="G28" s="7" t="s">
        <v>83</v>
      </c>
      <c r="H28" s="7" t="s">
        <v>83</v>
      </c>
      <c r="I28" s="7" t="s">
        <v>83</v>
      </c>
      <c r="J28" s="7" t="s">
        <v>83</v>
      </c>
      <c r="K28" s="7" t="s">
        <v>83</v>
      </c>
      <c r="L28" s="7" t="s">
        <v>83</v>
      </c>
      <c r="M28" s="7" t="s">
        <v>83</v>
      </c>
      <c r="N28" s="7" t="s">
        <v>83</v>
      </c>
      <c r="O28" s="7" t="s">
        <v>83</v>
      </c>
      <c r="P28" s="7" t="s">
        <v>83</v>
      </c>
      <c r="Q28" s="7" t="s">
        <v>83</v>
      </c>
      <c r="R28" s="7" t="s">
        <v>83</v>
      </c>
      <c r="S28" s="7" t="s">
        <v>83</v>
      </c>
      <c r="T28" s="7" t="s">
        <v>83</v>
      </c>
      <c r="U28" s="7" t="s">
        <v>83</v>
      </c>
      <c r="V28" s="7" t="s">
        <v>83</v>
      </c>
      <c r="W28" s="7" t="s">
        <v>83</v>
      </c>
      <c r="X28" s="7" t="s">
        <v>83</v>
      </c>
      <c r="Y28" s="7" t="s">
        <v>83</v>
      </c>
      <c r="Z28" s="7" t="s">
        <v>83</v>
      </c>
      <c r="AA28" s="7" t="s">
        <v>83</v>
      </c>
      <c r="AB28" s="7" t="s">
        <v>83</v>
      </c>
      <c r="AC28" s="7" t="s">
        <v>83</v>
      </c>
      <c r="AD28" s="7" t="s">
        <v>83</v>
      </c>
      <c r="AE28" s="7" t="s">
        <v>83</v>
      </c>
      <c r="AF28" s="7" t="s">
        <v>83</v>
      </c>
      <c r="AG28" s="7" t="s">
        <v>83</v>
      </c>
      <c r="AH28" s="7" t="s">
        <v>83</v>
      </c>
      <c r="AI28" s="7" t="s">
        <v>83</v>
      </c>
      <c r="AJ28" s="7" t="s">
        <v>83</v>
      </c>
      <c r="AK28" s="7" t="s">
        <v>83</v>
      </c>
    </row>
    <row r="29">
      <c r="B29" s="7" t="s">
        <v>83</v>
      </c>
      <c r="C29" s="7" t="s">
        <v>83</v>
      </c>
      <c r="D29" s="7" t="s">
        <v>83</v>
      </c>
      <c r="E29" s="7" t="s">
        <v>83</v>
      </c>
      <c r="F29" s="7" t="s">
        <v>83</v>
      </c>
      <c r="G29" s="7" t="s">
        <v>83</v>
      </c>
      <c r="H29" s="7" t="s">
        <v>83</v>
      </c>
      <c r="I29" s="7" t="s">
        <v>83</v>
      </c>
      <c r="J29" s="7" t="s">
        <v>83</v>
      </c>
      <c r="K29" s="7" t="s">
        <v>83</v>
      </c>
      <c r="L29" s="7" t="s">
        <v>83</v>
      </c>
      <c r="M29" s="7" t="s">
        <v>83</v>
      </c>
      <c r="N29" s="7" t="s">
        <v>83</v>
      </c>
      <c r="O29" s="7" t="s">
        <v>83</v>
      </c>
      <c r="P29" s="7" t="s">
        <v>83</v>
      </c>
      <c r="Q29" s="7" t="s">
        <v>83</v>
      </c>
      <c r="R29" s="7" t="s">
        <v>83</v>
      </c>
      <c r="S29" s="7" t="s">
        <v>83</v>
      </c>
      <c r="T29" s="7" t="s">
        <v>83</v>
      </c>
      <c r="U29" s="7" t="s">
        <v>83</v>
      </c>
      <c r="V29" s="7" t="s">
        <v>83</v>
      </c>
      <c r="W29" s="7" t="s">
        <v>83</v>
      </c>
      <c r="X29" s="7" t="s">
        <v>83</v>
      </c>
      <c r="Y29" s="7" t="s">
        <v>83</v>
      </c>
      <c r="Z29" s="7" t="s">
        <v>83</v>
      </c>
      <c r="AA29" s="7" t="s">
        <v>83</v>
      </c>
      <c r="AB29" s="7" t="s">
        <v>83</v>
      </c>
      <c r="AC29" s="7" t="s">
        <v>83</v>
      </c>
      <c r="AD29" s="7" t="s">
        <v>83</v>
      </c>
      <c r="AE29" s="7" t="s">
        <v>83</v>
      </c>
      <c r="AF29" s="7" t="s">
        <v>83</v>
      </c>
      <c r="AG29" s="7" t="s">
        <v>83</v>
      </c>
      <c r="AH29" s="7" t="s">
        <v>83</v>
      </c>
      <c r="AI29" s="7" t="s">
        <v>83</v>
      </c>
      <c r="AJ29" s="7" t="s">
        <v>83</v>
      </c>
      <c r="AK29" s="7" t="s">
        <v>83</v>
      </c>
    </row>
    <row r="30">
      <c r="B30" s="7" t="s">
        <v>83</v>
      </c>
      <c r="C30" s="7" t="s">
        <v>83</v>
      </c>
      <c r="D30" s="7" t="s">
        <v>83</v>
      </c>
      <c r="E30" s="7" t="s">
        <v>83</v>
      </c>
      <c r="F30" s="7" t="s">
        <v>83</v>
      </c>
      <c r="G30" s="7" t="s">
        <v>83</v>
      </c>
      <c r="H30" s="7" t="s">
        <v>83</v>
      </c>
      <c r="I30" s="7" t="s">
        <v>83</v>
      </c>
      <c r="J30" s="7" t="s">
        <v>83</v>
      </c>
      <c r="K30" s="7" t="s">
        <v>83</v>
      </c>
      <c r="L30" s="7" t="s">
        <v>83</v>
      </c>
      <c r="M30" s="7" t="s">
        <v>83</v>
      </c>
      <c r="N30" s="7" t="s">
        <v>83</v>
      </c>
      <c r="O30" s="7" t="s">
        <v>83</v>
      </c>
      <c r="P30" s="7" t="s">
        <v>83</v>
      </c>
      <c r="Q30" s="7" t="s">
        <v>83</v>
      </c>
      <c r="R30" s="7" t="s">
        <v>83</v>
      </c>
      <c r="S30" s="7" t="s">
        <v>83</v>
      </c>
      <c r="T30" s="7" t="s">
        <v>83</v>
      </c>
      <c r="U30" s="7" t="s">
        <v>83</v>
      </c>
      <c r="V30" s="7" t="s">
        <v>83</v>
      </c>
      <c r="W30" s="7" t="s">
        <v>83</v>
      </c>
      <c r="X30" s="7" t="s">
        <v>83</v>
      </c>
      <c r="Y30" s="7" t="s">
        <v>83</v>
      </c>
      <c r="Z30" s="7" t="s">
        <v>83</v>
      </c>
      <c r="AA30" s="7" t="s">
        <v>83</v>
      </c>
      <c r="AB30" s="7" t="s">
        <v>83</v>
      </c>
      <c r="AC30" s="7" t="s">
        <v>83</v>
      </c>
      <c r="AD30" s="7" t="s">
        <v>83</v>
      </c>
      <c r="AE30" s="7" t="s">
        <v>83</v>
      </c>
      <c r="AF30" s="7" t="s">
        <v>83</v>
      </c>
      <c r="AG30" s="7" t="s">
        <v>83</v>
      </c>
      <c r="AH30" s="7" t="s">
        <v>83</v>
      </c>
      <c r="AI30" s="7" t="s">
        <v>83</v>
      </c>
      <c r="AJ30" s="7" t="s">
        <v>83</v>
      </c>
      <c r="AK30" s="7" t="s">
        <v>83</v>
      </c>
    </row>
    <row r="31">
      <c r="B31" s="7" t="s">
        <v>83</v>
      </c>
      <c r="C31" s="7" t="s">
        <v>83</v>
      </c>
      <c r="D31" s="7" t="s">
        <v>83</v>
      </c>
      <c r="E31" s="7" t="s">
        <v>83</v>
      </c>
      <c r="F31" s="7" t="s">
        <v>83</v>
      </c>
      <c r="G31" s="7" t="s">
        <v>83</v>
      </c>
      <c r="H31" s="7" t="s">
        <v>83</v>
      </c>
      <c r="I31" s="7" t="s">
        <v>83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83</v>
      </c>
      <c r="AC31" s="7" t="s">
        <v>83</v>
      </c>
      <c r="AD31" s="7" t="s">
        <v>83</v>
      </c>
      <c r="AE31" s="7" t="s">
        <v>83</v>
      </c>
      <c r="AF31" s="7" t="s">
        <v>83</v>
      </c>
      <c r="AG31" s="7" t="s">
        <v>83</v>
      </c>
      <c r="AH31" s="7" t="s">
        <v>83</v>
      </c>
      <c r="AI31" s="7" t="s">
        <v>83</v>
      </c>
      <c r="AJ31" s="7" t="s">
        <v>83</v>
      </c>
      <c r="AK31" s="7" t="s">
        <v>83</v>
      </c>
    </row>
    <row r="32">
      <c r="B32" s="7" t="s">
        <v>83</v>
      </c>
      <c r="C32" s="7" t="s">
        <v>83</v>
      </c>
      <c r="D32" s="7" t="s">
        <v>83</v>
      </c>
      <c r="E32" s="7" t="s">
        <v>83</v>
      </c>
      <c r="F32" s="7" t="s">
        <v>83</v>
      </c>
      <c r="G32" s="7" t="s">
        <v>83</v>
      </c>
      <c r="H32" s="7" t="s">
        <v>83</v>
      </c>
      <c r="I32" s="7" t="s">
        <v>83</v>
      </c>
      <c r="J32" s="7" t="s">
        <v>83</v>
      </c>
      <c r="K32" s="7" t="s">
        <v>83</v>
      </c>
      <c r="L32" s="7" t="s">
        <v>83</v>
      </c>
      <c r="M32" s="7" t="s">
        <v>83</v>
      </c>
      <c r="N32" s="7" t="s">
        <v>83</v>
      </c>
      <c r="O32" s="7" t="s">
        <v>83</v>
      </c>
      <c r="P32" s="7" t="s">
        <v>83</v>
      </c>
      <c r="Q32" s="7" t="s">
        <v>83</v>
      </c>
      <c r="R32" s="7" t="s">
        <v>83</v>
      </c>
      <c r="S32" s="7" t="s">
        <v>83</v>
      </c>
      <c r="T32" s="7" t="s">
        <v>83</v>
      </c>
      <c r="U32" s="7" t="s">
        <v>83</v>
      </c>
      <c r="V32" s="7" t="s">
        <v>83</v>
      </c>
      <c r="W32" s="7" t="s">
        <v>83</v>
      </c>
      <c r="X32" s="7" t="s">
        <v>83</v>
      </c>
      <c r="Y32" s="7" t="s">
        <v>83</v>
      </c>
      <c r="Z32" s="7" t="s">
        <v>83</v>
      </c>
      <c r="AA32" s="7" t="s">
        <v>83</v>
      </c>
      <c r="AB32" s="7" t="s">
        <v>83</v>
      </c>
      <c r="AC32" s="7" t="s">
        <v>83</v>
      </c>
      <c r="AD32" s="7" t="s">
        <v>83</v>
      </c>
      <c r="AE32" s="7" t="s">
        <v>83</v>
      </c>
      <c r="AF32" s="7" t="s">
        <v>83</v>
      </c>
      <c r="AG32" s="7" t="s">
        <v>83</v>
      </c>
      <c r="AH32" s="7" t="s">
        <v>83</v>
      </c>
      <c r="AI32" s="7" t="s">
        <v>83</v>
      </c>
      <c r="AJ32" s="7" t="s">
        <v>83</v>
      </c>
      <c r="AK32" s="7" t="s">
        <v>83</v>
      </c>
    </row>
    <row r="33">
      <c r="B33" s="7" t="s">
        <v>83</v>
      </c>
      <c r="C33" s="7" t="s">
        <v>83</v>
      </c>
      <c r="D33" s="7" t="s">
        <v>83</v>
      </c>
      <c r="E33" s="7" t="s">
        <v>83</v>
      </c>
      <c r="F33" s="7" t="s">
        <v>83</v>
      </c>
      <c r="G33" s="7" t="s">
        <v>83</v>
      </c>
      <c r="H33" s="7" t="s">
        <v>83</v>
      </c>
      <c r="I33" s="7" t="s">
        <v>83</v>
      </c>
      <c r="J33" s="7" t="s">
        <v>83</v>
      </c>
      <c r="K33" s="7" t="s">
        <v>83</v>
      </c>
      <c r="L33" s="7" t="s">
        <v>83</v>
      </c>
      <c r="M33" s="7" t="s">
        <v>83</v>
      </c>
      <c r="N33" s="7" t="s">
        <v>83</v>
      </c>
      <c r="O33" s="7" t="s">
        <v>83</v>
      </c>
      <c r="P33" s="7" t="s">
        <v>83</v>
      </c>
      <c r="Q33" s="7" t="s">
        <v>83</v>
      </c>
      <c r="R33" s="7" t="s">
        <v>83</v>
      </c>
      <c r="S33" s="7" t="s">
        <v>83</v>
      </c>
      <c r="T33" s="7" t="s">
        <v>83</v>
      </c>
      <c r="U33" s="7" t="s">
        <v>83</v>
      </c>
      <c r="V33" s="7" t="s">
        <v>83</v>
      </c>
      <c r="W33" s="7" t="s">
        <v>83</v>
      </c>
      <c r="X33" s="7" t="s">
        <v>83</v>
      </c>
      <c r="Y33" s="7" t="s">
        <v>83</v>
      </c>
      <c r="Z33" s="7" t="s">
        <v>83</v>
      </c>
      <c r="AA33" s="7" t="s">
        <v>83</v>
      </c>
      <c r="AB33" s="7" t="s">
        <v>83</v>
      </c>
      <c r="AC33" s="7" t="s">
        <v>83</v>
      </c>
      <c r="AD33" s="7" t="s">
        <v>83</v>
      </c>
      <c r="AE33" s="7" t="s">
        <v>83</v>
      </c>
      <c r="AF33" s="7" t="s">
        <v>83</v>
      </c>
      <c r="AG33" s="7" t="s">
        <v>83</v>
      </c>
      <c r="AH33" s="7" t="s">
        <v>83</v>
      </c>
      <c r="AI33" s="7" t="s">
        <v>83</v>
      </c>
      <c r="AJ33" s="7" t="s">
        <v>83</v>
      </c>
      <c r="AK33" s="7" t="s">
        <v>83</v>
      </c>
    </row>
    <row r="34">
      <c r="B34" s="7" t="s">
        <v>83</v>
      </c>
      <c r="C34" s="7" t="s">
        <v>83</v>
      </c>
      <c r="D34" s="7" t="s">
        <v>83</v>
      </c>
      <c r="E34" s="7" t="s">
        <v>83</v>
      </c>
      <c r="F34" s="7" t="s">
        <v>83</v>
      </c>
      <c r="G34" s="7" t="s">
        <v>83</v>
      </c>
      <c r="H34" s="7" t="s">
        <v>83</v>
      </c>
      <c r="I34" s="7" t="s">
        <v>83</v>
      </c>
      <c r="J34" s="7" t="s">
        <v>83</v>
      </c>
      <c r="K34" s="7" t="s">
        <v>83</v>
      </c>
      <c r="L34" s="7" t="s">
        <v>83</v>
      </c>
      <c r="M34" s="7" t="s">
        <v>83</v>
      </c>
      <c r="N34" s="7" t="s">
        <v>83</v>
      </c>
      <c r="O34" s="7" t="s">
        <v>83</v>
      </c>
      <c r="P34" s="7" t="s">
        <v>83</v>
      </c>
      <c r="Q34" s="7" t="s">
        <v>83</v>
      </c>
      <c r="R34" s="7" t="s">
        <v>83</v>
      </c>
      <c r="S34" s="7" t="s">
        <v>83</v>
      </c>
      <c r="T34" s="7" t="s">
        <v>83</v>
      </c>
      <c r="U34" s="7" t="s">
        <v>83</v>
      </c>
      <c r="V34" s="7" t="s">
        <v>83</v>
      </c>
      <c r="W34" s="7" t="s">
        <v>83</v>
      </c>
      <c r="X34" s="7" t="s">
        <v>83</v>
      </c>
      <c r="Y34" s="7" t="s">
        <v>83</v>
      </c>
      <c r="Z34" s="7" t="s">
        <v>83</v>
      </c>
      <c r="AA34" s="7" t="s">
        <v>83</v>
      </c>
      <c r="AB34" s="7" t="s">
        <v>83</v>
      </c>
      <c r="AC34" s="7" t="s">
        <v>83</v>
      </c>
      <c r="AD34" s="7" t="s">
        <v>83</v>
      </c>
      <c r="AE34" s="7" t="s">
        <v>83</v>
      </c>
      <c r="AF34" s="7" t="s">
        <v>83</v>
      </c>
      <c r="AG34" s="7" t="s">
        <v>83</v>
      </c>
      <c r="AH34" s="7" t="s">
        <v>83</v>
      </c>
      <c r="AI34" s="7" t="s">
        <v>83</v>
      </c>
      <c r="AJ34" s="7" t="s">
        <v>83</v>
      </c>
      <c r="AK34" s="7" t="s">
        <v>83</v>
      </c>
    </row>
    <row r="35">
      <c r="B35" s="7" t="s">
        <v>83</v>
      </c>
      <c r="C35" s="7" t="s">
        <v>83</v>
      </c>
      <c r="D35" s="7" t="s">
        <v>83</v>
      </c>
      <c r="E35" s="7" t="s">
        <v>83</v>
      </c>
      <c r="F35" s="7" t="s">
        <v>83</v>
      </c>
      <c r="G35" s="7" t="s">
        <v>83</v>
      </c>
      <c r="H35" s="7" t="s">
        <v>83</v>
      </c>
      <c r="I35" s="7" t="s">
        <v>83</v>
      </c>
      <c r="J35" s="7" t="s">
        <v>83</v>
      </c>
      <c r="K35" s="7" t="s">
        <v>83</v>
      </c>
      <c r="L35" s="7" t="s">
        <v>83</v>
      </c>
      <c r="M35" s="7" t="s">
        <v>83</v>
      </c>
      <c r="N35" s="7" t="s">
        <v>83</v>
      </c>
      <c r="O35" s="7" t="s">
        <v>83</v>
      </c>
      <c r="P35" s="7" t="s">
        <v>83</v>
      </c>
      <c r="Q35" s="7" t="s">
        <v>83</v>
      </c>
      <c r="R35" s="7" t="s">
        <v>83</v>
      </c>
      <c r="S35" s="7" t="s">
        <v>83</v>
      </c>
      <c r="T35" s="7" t="s">
        <v>83</v>
      </c>
      <c r="U35" s="7" t="s">
        <v>83</v>
      </c>
      <c r="V35" s="7" t="s">
        <v>83</v>
      </c>
      <c r="W35" s="7" t="s">
        <v>83</v>
      </c>
      <c r="X35" s="7" t="s">
        <v>83</v>
      </c>
      <c r="Y35" s="7" t="s">
        <v>83</v>
      </c>
      <c r="Z35" s="7" t="s">
        <v>83</v>
      </c>
      <c r="AA35" s="7" t="s">
        <v>83</v>
      </c>
      <c r="AB35" s="7" t="s">
        <v>83</v>
      </c>
      <c r="AC35" s="7" t="s">
        <v>83</v>
      </c>
      <c r="AD35" s="7" t="s">
        <v>83</v>
      </c>
      <c r="AE35" s="7" t="s">
        <v>83</v>
      </c>
      <c r="AF35" s="7" t="s">
        <v>83</v>
      </c>
      <c r="AG35" s="7" t="s">
        <v>83</v>
      </c>
      <c r="AH35" s="7" t="s">
        <v>83</v>
      </c>
      <c r="AI35" s="7" t="s">
        <v>83</v>
      </c>
      <c r="AJ35" s="7" t="s">
        <v>83</v>
      </c>
      <c r="AK35" s="7" t="s">
        <v>83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</row>
    <row r="2">
      <c r="A2" s="4" t="s">
        <v>148</v>
      </c>
      <c r="B2" s="7">
        <f t="array" ref="B2:AK9">N('Pier (Adjusted)'!B2:AK9) * N('Pier (Adjusted)'!AN2:AN9)</f>
        <v>2222.222222</v>
      </c>
      <c r="C2" s="7">
        <v>2222.222222222222</v>
      </c>
      <c r="D2" s="7">
        <v>2222.222222222222</v>
      </c>
      <c r="E2" s="7">
        <v>2222.222222222222</v>
      </c>
      <c r="F2" s="7">
        <v>2222.222222222222</v>
      </c>
      <c r="G2" s="7">
        <v>2222.222222222222</v>
      </c>
      <c r="H2" s="7">
        <v>2222.222222222222</v>
      </c>
      <c r="I2" s="7">
        <v>2222.222222222222</v>
      </c>
      <c r="J2" s="7">
        <v>2222.222222222222</v>
      </c>
      <c r="K2" s="7">
        <v>2222.222222222222</v>
      </c>
      <c r="L2" s="7">
        <v>2222.222222222222</v>
      </c>
      <c r="M2" s="7">
        <v>2222.222222222222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2222.222222222222</v>
      </c>
      <c r="U2" s="7">
        <v>2222.222222222222</v>
      </c>
      <c r="V2" s="7">
        <v>2222.222222222222</v>
      </c>
      <c r="W2" s="7">
        <v>2222.222222222222</v>
      </c>
      <c r="X2" s="7">
        <v>1250.0</v>
      </c>
      <c r="Y2" s="7">
        <v>1250.0</v>
      </c>
      <c r="Z2" s="7">
        <v>2222.222222222222</v>
      </c>
      <c r="AA2" s="7">
        <v>1250.0</v>
      </c>
      <c r="AB2" s="7">
        <v>1250.0</v>
      </c>
      <c r="AC2" s="7">
        <v>0.0</v>
      </c>
      <c r="AD2" s="7">
        <v>0.0</v>
      </c>
      <c r="AE2" s="7">
        <v>0.0</v>
      </c>
      <c r="AF2" s="7">
        <v>2222.222222222222</v>
      </c>
      <c r="AG2" s="7">
        <v>2222.222222222222</v>
      </c>
      <c r="AH2" s="7">
        <v>2222.222222222222</v>
      </c>
      <c r="AI2" s="7">
        <v>2222.222222222222</v>
      </c>
      <c r="AJ2" s="7">
        <v>2222.222222222222</v>
      </c>
      <c r="AK2" s="7">
        <v>2222.222222222222</v>
      </c>
    </row>
    <row r="3">
      <c r="A3" s="4" t="s">
        <v>149</v>
      </c>
      <c r="B3" s="7">
        <v>0.0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642.8571428571428</v>
      </c>
      <c r="O3" s="7">
        <v>642.8571428571428</v>
      </c>
      <c r="P3" s="7">
        <v>642.8571428571428</v>
      </c>
      <c r="Q3" s="7">
        <v>642.8571428571428</v>
      </c>
      <c r="R3" s="7">
        <v>642.8571428571428</v>
      </c>
      <c r="S3" s="7">
        <v>642.8571428571428</v>
      </c>
      <c r="T3" s="7">
        <v>500.0</v>
      </c>
      <c r="U3" s="7">
        <v>500.0</v>
      </c>
      <c r="V3" s="7">
        <v>500.0</v>
      </c>
      <c r="W3" s="7">
        <v>500.0</v>
      </c>
      <c r="X3" s="7">
        <v>562.5</v>
      </c>
      <c r="Y3" s="7">
        <v>562.5</v>
      </c>
      <c r="Z3" s="7">
        <v>500.0</v>
      </c>
      <c r="AA3" s="7">
        <v>562.5</v>
      </c>
      <c r="AB3" s="7">
        <v>562.5</v>
      </c>
      <c r="AC3" s="7">
        <v>642.8571428571428</v>
      </c>
      <c r="AD3" s="7">
        <v>642.8571428571428</v>
      </c>
      <c r="AE3" s="7">
        <v>642.8571428571428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</row>
    <row r="4">
      <c r="A4" s="4" t="s">
        <v>150</v>
      </c>
      <c r="B4" s="7">
        <v>0.0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857.1428571428571</v>
      </c>
      <c r="O4" s="7">
        <v>857.1428571428571</v>
      </c>
      <c r="P4" s="7">
        <v>857.1428571428571</v>
      </c>
      <c r="Q4" s="7">
        <v>857.1428571428571</v>
      </c>
      <c r="R4" s="7">
        <v>857.1428571428571</v>
      </c>
      <c r="S4" s="7">
        <v>857.1428571428571</v>
      </c>
      <c r="T4" s="7">
        <v>666.6666666666666</v>
      </c>
      <c r="U4" s="7">
        <v>666.6666666666666</v>
      </c>
      <c r="V4" s="7">
        <v>666.6666666666666</v>
      </c>
      <c r="W4" s="7">
        <v>666.6666666666666</v>
      </c>
      <c r="X4" s="7">
        <v>750.0</v>
      </c>
      <c r="Y4" s="7">
        <v>750.0</v>
      </c>
      <c r="Z4" s="7">
        <v>666.6666666666666</v>
      </c>
      <c r="AA4" s="7">
        <v>750.0</v>
      </c>
      <c r="AB4" s="7">
        <v>750.0</v>
      </c>
      <c r="AC4" s="7">
        <v>857.1428571428571</v>
      </c>
      <c r="AD4" s="7">
        <v>857.1428571428571</v>
      </c>
      <c r="AE4" s="7">
        <v>857.1428571428571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</row>
    <row r="5">
      <c r="A5" s="4" t="s">
        <v>151</v>
      </c>
      <c r="B5" s="7">
        <v>1555.5555555555554</v>
      </c>
      <c r="C5" s="7">
        <v>1555.5555555555554</v>
      </c>
      <c r="D5" s="7">
        <v>1555.5555555555554</v>
      </c>
      <c r="E5" s="7">
        <v>1555.5555555555554</v>
      </c>
      <c r="F5" s="7">
        <v>1555.5555555555554</v>
      </c>
      <c r="G5" s="7">
        <v>1555.5555555555554</v>
      </c>
      <c r="H5" s="7">
        <v>1555.5555555555554</v>
      </c>
      <c r="I5" s="7">
        <v>1555.5555555555554</v>
      </c>
      <c r="J5" s="7">
        <v>1555.5555555555554</v>
      </c>
      <c r="K5" s="7">
        <v>1555.5555555555554</v>
      </c>
      <c r="L5" s="7">
        <v>1555.5555555555554</v>
      </c>
      <c r="M5" s="7">
        <v>1555.5555555555554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1555.5555555555554</v>
      </c>
      <c r="AG5" s="7">
        <v>1555.5555555555554</v>
      </c>
      <c r="AH5" s="7">
        <v>1555.5555555555554</v>
      </c>
      <c r="AI5" s="7">
        <v>1555.5555555555554</v>
      </c>
      <c r="AJ5" s="7">
        <v>1555.5555555555554</v>
      </c>
      <c r="AK5" s="7">
        <v>1555.5555555555554</v>
      </c>
    </row>
    <row r="6">
      <c r="A6" s="4" t="s">
        <v>63</v>
      </c>
      <c r="B6" s="7">
        <v>1.1111111111111112</v>
      </c>
      <c r="C6" s="7">
        <v>1.1111111111111112</v>
      </c>
      <c r="D6" s="7">
        <v>1.1111111111111112</v>
      </c>
      <c r="E6" s="7">
        <v>1.1111111111111112</v>
      </c>
      <c r="F6" s="7">
        <v>1.1111111111111112</v>
      </c>
      <c r="G6" s="7">
        <v>1.1111111111111112</v>
      </c>
      <c r="H6" s="7">
        <v>1.1111111111111112</v>
      </c>
      <c r="I6" s="7">
        <v>1.1111111111111112</v>
      </c>
      <c r="J6" s="7">
        <v>1.1111111111111112</v>
      </c>
      <c r="K6" s="7">
        <v>1.1111111111111112</v>
      </c>
      <c r="L6" s="7">
        <v>1.1111111111111112</v>
      </c>
      <c r="M6" s="7">
        <v>1.1111111111111112</v>
      </c>
      <c r="N6" s="7">
        <v>1.4285714285714284</v>
      </c>
      <c r="O6" s="7">
        <v>1.4285714285714284</v>
      </c>
      <c r="P6" s="7">
        <v>1.4285714285714284</v>
      </c>
      <c r="Q6" s="7">
        <v>1.4285714285714284</v>
      </c>
      <c r="R6" s="7">
        <v>1.4285714285714284</v>
      </c>
      <c r="S6" s="7">
        <v>1.4285714285714284</v>
      </c>
      <c r="T6" s="7">
        <v>1.1111111111111112</v>
      </c>
      <c r="U6" s="7">
        <v>1.1111111111111112</v>
      </c>
      <c r="V6" s="7">
        <v>1.1111111111111112</v>
      </c>
      <c r="W6" s="7">
        <v>1.1111111111111112</v>
      </c>
      <c r="X6" s="7">
        <v>1.25</v>
      </c>
      <c r="Y6" s="7">
        <v>1.25</v>
      </c>
      <c r="Z6" s="7">
        <v>1.1111111111111112</v>
      </c>
      <c r="AA6" s="7">
        <v>1.25</v>
      </c>
      <c r="AB6" s="7">
        <v>1.25</v>
      </c>
      <c r="AC6" s="7">
        <v>1.4285714285714284</v>
      </c>
      <c r="AD6" s="7">
        <v>1.4285714285714284</v>
      </c>
      <c r="AE6" s="7">
        <v>1.4285714285714284</v>
      </c>
      <c r="AF6" s="7">
        <v>1.1111111111111112</v>
      </c>
      <c r="AG6" s="7">
        <v>1.1111111111111112</v>
      </c>
      <c r="AH6" s="7">
        <v>1.1111111111111112</v>
      </c>
      <c r="AI6" s="7">
        <v>1.1111111111111112</v>
      </c>
      <c r="AJ6" s="7">
        <v>1.1111111111111112</v>
      </c>
      <c r="AK6" s="7">
        <v>1.1111111111111112</v>
      </c>
    </row>
    <row r="7">
      <c r="A7" s="4" t="s">
        <v>64</v>
      </c>
      <c r="B7" s="7">
        <v>1.1111111111111112</v>
      </c>
      <c r="C7" s="7">
        <v>1.1111111111111112</v>
      </c>
      <c r="D7" s="7">
        <v>1.1111111111111112</v>
      </c>
      <c r="E7" s="7">
        <v>1.1111111111111112</v>
      </c>
      <c r="F7" s="7">
        <v>1.1111111111111112</v>
      </c>
      <c r="G7" s="7">
        <v>1.1111111111111112</v>
      </c>
      <c r="H7" s="7">
        <v>1.1111111111111112</v>
      </c>
      <c r="I7" s="7">
        <v>1.1111111111111112</v>
      </c>
      <c r="J7" s="7">
        <v>1.1111111111111112</v>
      </c>
      <c r="K7" s="7">
        <v>1.1111111111111112</v>
      </c>
      <c r="L7" s="7">
        <v>1.1111111111111112</v>
      </c>
      <c r="M7" s="7">
        <v>1.1111111111111112</v>
      </c>
      <c r="N7" s="7">
        <v>1.4285714285714284</v>
      </c>
      <c r="O7" s="7">
        <v>1.4285714285714284</v>
      </c>
      <c r="P7" s="7">
        <v>1.4285714285714284</v>
      </c>
      <c r="Q7" s="7">
        <v>1.4285714285714284</v>
      </c>
      <c r="R7" s="7">
        <v>1.4285714285714284</v>
      </c>
      <c r="S7" s="7">
        <v>1.4285714285714284</v>
      </c>
      <c r="T7" s="7">
        <v>1.1111111111111112</v>
      </c>
      <c r="U7" s="7">
        <v>1.1111111111111112</v>
      </c>
      <c r="V7" s="7">
        <v>1.1111111111111112</v>
      </c>
      <c r="W7" s="7">
        <v>1.1111111111111112</v>
      </c>
      <c r="X7" s="7">
        <v>1.25</v>
      </c>
      <c r="Y7" s="7">
        <v>1.25</v>
      </c>
      <c r="Z7" s="7">
        <v>1.1111111111111112</v>
      </c>
      <c r="AA7" s="7">
        <v>1.25</v>
      </c>
      <c r="AB7" s="7">
        <v>1.25</v>
      </c>
      <c r="AC7" s="7">
        <v>1.4285714285714284</v>
      </c>
      <c r="AD7" s="7">
        <v>1.4285714285714284</v>
      </c>
      <c r="AE7" s="7">
        <v>1.4285714285714284</v>
      </c>
      <c r="AF7" s="7">
        <v>1.1111111111111112</v>
      </c>
      <c r="AG7" s="7">
        <v>1.1111111111111112</v>
      </c>
      <c r="AH7" s="7">
        <v>1.1111111111111112</v>
      </c>
      <c r="AI7" s="7">
        <v>1.1111111111111112</v>
      </c>
      <c r="AJ7" s="7">
        <v>1.1111111111111112</v>
      </c>
      <c r="AK7" s="7">
        <v>1.1111111111111112</v>
      </c>
    </row>
    <row r="8">
      <c r="A8" s="4" t="s">
        <v>65</v>
      </c>
      <c r="B8" s="7">
        <v>1.1111111111111112</v>
      </c>
      <c r="C8" s="7">
        <v>1.1111111111111112</v>
      </c>
      <c r="D8" s="7">
        <v>1.1111111111111112</v>
      </c>
      <c r="E8" s="7">
        <v>1.1111111111111112</v>
      </c>
      <c r="F8" s="7">
        <v>1.1111111111111112</v>
      </c>
      <c r="G8" s="7">
        <v>1.1111111111111112</v>
      </c>
      <c r="H8" s="7">
        <v>1.1111111111111112</v>
      </c>
      <c r="I8" s="7">
        <v>1.1111111111111112</v>
      </c>
      <c r="J8" s="7">
        <v>1.1111111111111112</v>
      </c>
      <c r="K8" s="7">
        <v>1.1111111111111112</v>
      </c>
      <c r="L8" s="7">
        <v>1.1111111111111112</v>
      </c>
      <c r="M8" s="7">
        <v>1.1111111111111112</v>
      </c>
      <c r="N8" s="7">
        <v>1.4285714285714284</v>
      </c>
      <c r="O8" s="7">
        <v>1.4285714285714284</v>
      </c>
      <c r="P8" s="7">
        <v>1.4285714285714284</v>
      </c>
      <c r="Q8" s="7">
        <v>1.4285714285714284</v>
      </c>
      <c r="R8" s="7">
        <v>1.4285714285714284</v>
      </c>
      <c r="S8" s="7">
        <v>1.4285714285714284</v>
      </c>
      <c r="T8" s="7">
        <v>1.1111111111111112</v>
      </c>
      <c r="U8" s="7">
        <v>1.1111111111111112</v>
      </c>
      <c r="V8" s="7">
        <v>1.1111111111111112</v>
      </c>
      <c r="W8" s="7">
        <v>1.1111111111111112</v>
      </c>
      <c r="X8" s="7">
        <v>1.25</v>
      </c>
      <c r="Y8" s="7">
        <v>1.25</v>
      </c>
      <c r="Z8" s="7">
        <v>1.1111111111111112</v>
      </c>
      <c r="AA8" s="7">
        <v>1.25</v>
      </c>
      <c r="AB8" s="7">
        <v>1.25</v>
      </c>
      <c r="AC8" s="7">
        <v>1.4285714285714284</v>
      </c>
      <c r="AD8" s="7">
        <v>1.4285714285714284</v>
      </c>
      <c r="AE8" s="7">
        <v>1.4285714285714284</v>
      </c>
      <c r="AF8" s="7">
        <v>1.1111111111111112</v>
      </c>
      <c r="AG8" s="7">
        <v>1.1111111111111112</v>
      </c>
      <c r="AH8" s="7">
        <v>1.1111111111111112</v>
      </c>
      <c r="AI8" s="7">
        <v>1.1111111111111112</v>
      </c>
      <c r="AJ8" s="7">
        <v>1.1111111111111112</v>
      </c>
      <c r="AK8" s="7">
        <v>1.1111111111111112</v>
      </c>
    </row>
    <row r="9">
      <c r="A9" s="4" t="s">
        <v>66</v>
      </c>
      <c r="B9" s="7">
        <v>2.2222222222222223</v>
      </c>
      <c r="C9" s="7">
        <v>2.2222222222222223</v>
      </c>
      <c r="D9" s="7">
        <v>2.2222222222222223</v>
      </c>
      <c r="E9" s="7">
        <v>2.2222222222222223</v>
      </c>
      <c r="F9" s="7">
        <v>2.2222222222222223</v>
      </c>
      <c r="G9" s="7">
        <v>2.2222222222222223</v>
      </c>
      <c r="H9" s="7">
        <v>2.2222222222222223</v>
      </c>
      <c r="I9" s="7">
        <v>2.2222222222222223</v>
      </c>
      <c r="J9" s="7">
        <v>2.2222222222222223</v>
      </c>
      <c r="K9" s="7">
        <v>2.2222222222222223</v>
      </c>
      <c r="L9" s="7">
        <v>2.2222222222222223</v>
      </c>
      <c r="M9" s="7">
        <v>2.2222222222222223</v>
      </c>
      <c r="N9" s="7">
        <v>2.8571428571428568</v>
      </c>
      <c r="O9" s="7">
        <v>2.8571428571428568</v>
      </c>
      <c r="P9" s="7">
        <v>2.8571428571428568</v>
      </c>
      <c r="Q9" s="7">
        <v>2.8571428571428568</v>
      </c>
      <c r="R9" s="7">
        <v>2.8571428571428568</v>
      </c>
      <c r="S9" s="7">
        <v>2.8571428571428568</v>
      </c>
      <c r="T9" s="7">
        <v>2.2222222222222223</v>
      </c>
      <c r="U9" s="7">
        <v>2.2222222222222223</v>
      </c>
      <c r="V9" s="7">
        <v>2.2222222222222223</v>
      </c>
      <c r="W9" s="7">
        <v>2.2222222222222223</v>
      </c>
      <c r="X9" s="7">
        <v>2.5</v>
      </c>
      <c r="Y9" s="7">
        <v>2.5</v>
      </c>
      <c r="Z9" s="7">
        <v>2.2222222222222223</v>
      </c>
      <c r="AA9" s="7">
        <v>2.5</v>
      </c>
      <c r="AB9" s="7">
        <v>2.5</v>
      </c>
      <c r="AC9" s="7">
        <v>2.8571428571428568</v>
      </c>
      <c r="AD9" s="7">
        <v>2.8571428571428568</v>
      </c>
      <c r="AE9" s="7">
        <v>2.8571428571428568</v>
      </c>
      <c r="AF9" s="7">
        <v>2.2222222222222223</v>
      </c>
      <c r="AG9" s="7">
        <v>2.2222222222222223</v>
      </c>
      <c r="AH9" s="7">
        <v>2.2222222222222223</v>
      </c>
      <c r="AI9" s="7">
        <v>2.2222222222222223</v>
      </c>
      <c r="AJ9" s="7">
        <v>2.2222222222222223</v>
      </c>
      <c r="AK9" s="7">
        <v>2.2222222222222223</v>
      </c>
    </row>
    <row r="10">
      <c r="A10" s="16" t="s">
        <v>76</v>
      </c>
      <c r="B10" s="17">
        <f t="shared" ref="B10:AK10" si="1">SUM(B2:B9)</f>
        <v>3783.333333</v>
      </c>
      <c r="C10" s="17">
        <f t="shared" si="1"/>
        <v>3783.333333</v>
      </c>
      <c r="D10" s="17">
        <f t="shared" si="1"/>
        <v>3783.333333</v>
      </c>
      <c r="E10" s="17">
        <f t="shared" si="1"/>
        <v>3783.333333</v>
      </c>
      <c r="F10" s="17">
        <f t="shared" si="1"/>
        <v>3783.333333</v>
      </c>
      <c r="G10" s="17">
        <f t="shared" si="1"/>
        <v>3783.333333</v>
      </c>
      <c r="H10" s="17">
        <f t="shared" si="1"/>
        <v>3783.333333</v>
      </c>
      <c r="I10" s="17">
        <f t="shared" si="1"/>
        <v>3783.333333</v>
      </c>
      <c r="J10" s="17">
        <f t="shared" si="1"/>
        <v>3783.333333</v>
      </c>
      <c r="K10" s="17">
        <f t="shared" si="1"/>
        <v>3783.333333</v>
      </c>
      <c r="L10" s="17">
        <f t="shared" si="1"/>
        <v>3783.333333</v>
      </c>
      <c r="M10" s="17">
        <f t="shared" si="1"/>
        <v>3783.333333</v>
      </c>
      <c r="N10" s="17">
        <f t="shared" si="1"/>
        <v>1507.142857</v>
      </c>
      <c r="O10" s="17">
        <f t="shared" si="1"/>
        <v>1507.142857</v>
      </c>
      <c r="P10" s="17">
        <f t="shared" si="1"/>
        <v>1507.142857</v>
      </c>
      <c r="Q10" s="17">
        <f t="shared" si="1"/>
        <v>1507.142857</v>
      </c>
      <c r="R10" s="17">
        <f t="shared" si="1"/>
        <v>1507.142857</v>
      </c>
      <c r="S10" s="17">
        <f t="shared" si="1"/>
        <v>1507.142857</v>
      </c>
      <c r="T10" s="17">
        <f t="shared" si="1"/>
        <v>3394.444444</v>
      </c>
      <c r="U10" s="17">
        <f t="shared" si="1"/>
        <v>3394.444444</v>
      </c>
      <c r="V10" s="17">
        <f t="shared" si="1"/>
        <v>3394.444444</v>
      </c>
      <c r="W10" s="17">
        <f t="shared" si="1"/>
        <v>3394.444444</v>
      </c>
      <c r="X10" s="17">
        <f t="shared" si="1"/>
        <v>2568.75</v>
      </c>
      <c r="Y10" s="17">
        <f t="shared" si="1"/>
        <v>2568.75</v>
      </c>
      <c r="Z10" s="17">
        <f t="shared" si="1"/>
        <v>3394.444444</v>
      </c>
      <c r="AA10" s="17">
        <f t="shared" si="1"/>
        <v>2568.75</v>
      </c>
      <c r="AB10" s="17">
        <f t="shared" si="1"/>
        <v>2568.75</v>
      </c>
      <c r="AC10" s="17">
        <f t="shared" si="1"/>
        <v>1507.142857</v>
      </c>
      <c r="AD10" s="17">
        <f t="shared" si="1"/>
        <v>1507.142857</v>
      </c>
      <c r="AE10" s="17">
        <f t="shared" si="1"/>
        <v>1507.142857</v>
      </c>
      <c r="AF10" s="17">
        <f t="shared" si="1"/>
        <v>3783.333333</v>
      </c>
      <c r="AG10" s="17">
        <f t="shared" si="1"/>
        <v>3783.333333</v>
      </c>
      <c r="AH10" s="17">
        <f t="shared" si="1"/>
        <v>3783.333333</v>
      </c>
      <c r="AI10" s="17">
        <f t="shared" si="1"/>
        <v>3783.333333</v>
      </c>
      <c r="AJ10" s="17">
        <f t="shared" si="1"/>
        <v>3783.333333</v>
      </c>
      <c r="AK10" s="17">
        <f t="shared" si="1"/>
        <v>3783.333333</v>
      </c>
    </row>
  </sheetData>
  <drawing r:id="rId1"/>
</worksheet>
</file>